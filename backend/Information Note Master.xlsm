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EO\LCO\ACES-NCEMC\Information Spreadsheets\2026 Logs\"/>
    </mc:Choice>
  </mc:AlternateContent>
  <xr:revisionPtr revIDLastSave="0" documentId="13_ncr:1_{577EB915-91DA-443D-8A60-BE53864383C1}" xr6:coauthVersionLast="36" xr6:coauthVersionMax="36" xr10:uidLastSave="{00000000-0000-0000-0000-000000000000}"/>
  <bookViews>
    <workbookView xWindow="0" yWindow="0" windowWidth="11088" windowHeight="7500" xr2:uid="{D38357B6-B1F0-4C22-959A-414B64B01912}"/>
  </bookViews>
  <sheets>
    <sheet name="Entry" sheetId="4" r:id="rId1"/>
    <sheet name="UAR Notes" sheetId="5" r:id="rId2"/>
    <sheet name="Lists" sheetId="2" r:id="rId3"/>
    <sheet name="Revisions" sheetId="3" r:id="rId4"/>
  </sheets>
  <definedNames>
    <definedName name="ActsPowerServices">Lists!$S$2:$S$57</definedName>
    <definedName name="AEMPower">Lists!$T$2:$T$57</definedName>
    <definedName name="AirInternational">Lists!$U$2:$U$57</definedName>
    <definedName name="AlternativeEnergy">Lists!$V$2:$V$57</definedName>
    <definedName name="AXISEnergy">Lists!$W$2:$W$7</definedName>
    <definedName name="AzimuthEnergy">Lists!$X$2:$X$57</definedName>
    <definedName name="BreitGrid">Lists!$Y$2:$Y$4</definedName>
    <definedName name="CAMS">Lists!$Z$2:$Z$19</definedName>
    <definedName name="CapeFearSolarServices">Lists!$AA$2:$AA$57</definedName>
    <definedName name="CarolinaSolarServices">Lists!$AB$2:$AB$7</definedName>
    <definedName name="Catl">Lists!$AC$2:$AC$19</definedName>
    <definedName name="CES">Lists!$AE$2:$AE$57</definedName>
    <definedName name="Clou">Lists!$AD$2:$AD$19</definedName>
    <definedName name="Flexgen">Lists!$AF$2:$AF$21</definedName>
    <definedName name="GEOtechnologies">Lists!$AG$2:$AG$57</definedName>
    <definedName name="GlobalPowerSolutions">Lists!$BE$2:$BE$89</definedName>
    <definedName name="GroundForce">Lists!$BH$1:$BH$59</definedName>
    <definedName name="GurganusSolarCare">Lists!$AH$2:$AH$57</definedName>
    <definedName name="JonesOnslowEMC">Lists!$AI$2:$AI$4</definedName>
    <definedName name="KEMPower">Lists!$AJ$2:$AJ$57</definedName>
    <definedName name="LomanGarret">Lists!$AK$2:$AK$57</definedName>
    <definedName name="LumbeeRiver">Lists!$BD$2:$BD$3</definedName>
    <definedName name="NARENCO">Lists!$AL$2:$AL$5</definedName>
    <definedName name="NCEMC">Lists!$AM$2:$AM$57</definedName>
    <definedName name="NergonEnergy">Lists!$BF$2:$BF$70</definedName>
    <definedName name="OATI">Lists!$AN$2:$AN$57</definedName>
    <definedName name="PittGreenElectric">Lists!$AO$2:$AO$3</definedName>
    <definedName name="PurePower">Lists!$AP$2:$AP$57</definedName>
    <definedName name="RavenVolt">Lists!$AQ$2:$AQ$19</definedName>
    <definedName name="Renewance">Lists!$AR$2:$AR$19</definedName>
    <definedName name="RevisionSolarLLC">Lists!$AS$2:$AS$57</definedName>
    <definedName name="Risan">Lists!$AZ$2:$AZ$57</definedName>
    <definedName name="RoanokeCooperative">Lists!$BC$2:$BC$57</definedName>
    <definedName name="SchweitzerEng">Lists!$AU$2:$AU$7</definedName>
    <definedName name="Tesla">Lists!$AV$2:$AV$12</definedName>
    <definedName name="ThompsonLandscaping">Lists!$AW$2:$AW$57</definedName>
    <definedName name="TidelandEMC">Lists!$AX$2:$AX$5</definedName>
    <definedName name="WakeElectric">Lists!$AY$2:$AY$5</definedName>
    <definedName name="WhitesElectrical">Lists!$BG$2:$BG$59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  <c r="D7" i="4"/>
  <c r="E40" i="5" l="1"/>
  <c r="E39" i="5"/>
  <c r="E38" i="5"/>
  <c r="E35" i="5"/>
  <c r="C40" i="5"/>
  <c r="C39" i="5"/>
  <c r="C38" i="5"/>
  <c r="C35" i="5"/>
  <c r="G31" i="5"/>
  <c r="G30" i="5"/>
  <c r="G29" i="5"/>
  <c r="G26" i="5"/>
  <c r="E31" i="5"/>
  <c r="E30" i="5"/>
  <c r="E29" i="5"/>
  <c r="E26" i="5"/>
  <c r="C31" i="5"/>
  <c r="C30" i="5"/>
  <c r="C29" i="5"/>
  <c r="C26" i="5"/>
  <c r="G23" i="5"/>
  <c r="G22" i="5"/>
  <c r="G21" i="5"/>
  <c r="G18" i="5"/>
  <c r="E23" i="5"/>
  <c r="E22" i="5"/>
  <c r="E21" i="5"/>
  <c r="E18" i="5"/>
  <c r="C23" i="5"/>
  <c r="C22" i="5"/>
  <c r="C21" i="5"/>
  <c r="C18" i="5"/>
  <c r="G15" i="5"/>
  <c r="G14" i="5"/>
  <c r="G13" i="5"/>
  <c r="G10" i="5"/>
  <c r="E15" i="5"/>
  <c r="E14" i="5"/>
  <c r="E13" i="5"/>
  <c r="E10" i="5"/>
  <c r="C15" i="5"/>
  <c r="C14" i="5"/>
  <c r="C13" i="5"/>
  <c r="C10" i="5"/>
  <c r="G7" i="5"/>
  <c r="G6" i="5"/>
  <c r="G5" i="5"/>
  <c r="G2" i="5"/>
  <c r="E7" i="5"/>
  <c r="E6" i="5"/>
  <c r="E5" i="5"/>
  <c r="E2" i="5"/>
  <c r="C7" i="5"/>
  <c r="C6" i="5"/>
  <c r="C5" i="5"/>
  <c r="D33" i="4"/>
  <c r="E37" i="5" s="1"/>
  <c r="C33" i="4"/>
  <c r="E36" i="5" s="1"/>
  <c r="D31" i="4"/>
  <c r="C37" i="5" s="1"/>
  <c r="C31" i="4"/>
  <c r="C36" i="5" s="1"/>
  <c r="D29" i="4"/>
  <c r="G28" i="5" s="1"/>
  <c r="C29" i="4"/>
  <c r="G27" i="5" s="1"/>
  <c r="C2" i="5" l="1"/>
  <c r="G5" i="4" l="1"/>
  <c r="D27" i="4" l="1"/>
  <c r="E28" i="5" s="1"/>
  <c r="C27" i="4"/>
  <c r="E27" i="5" s="1"/>
  <c r="D25" i="4"/>
  <c r="C28" i="5" s="1"/>
  <c r="C25" i="4"/>
  <c r="C27" i="5" s="1"/>
  <c r="D23" i="4"/>
  <c r="G20" i="5" s="1"/>
  <c r="D21" i="4"/>
  <c r="E20" i="5" s="1"/>
  <c r="D19" i="4"/>
  <c r="C20" i="5" s="1"/>
  <c r="D17" i="4"/>
  <c r="G12" i="5" s="1"/>
  <c r="D15" i="4"/>
  <c r="E12" i="5" s="1"/>
  <c r="D13" i="4"/>
  <c r="C12" i="5" s="1"/>
  <c r="D11" i="4"/>
  <c r="G4" i="5" s="1"/>
  <c r="D9" i="4"/>
  <c r="E4" i="5" s="1"/>
  <c r="C4" i="5"/>
  <c r="C23" i="4"/>
  <c r="G19" i="5" s="1"/>
  <c r="C21" i="4"/>
  <c r="E19" i="5" s="1"/>
  <c r="C19" i="4"/>
  <c r="C19" i="5" s="1"/>
  <c r="C17" i="4"/>
  <c r="G11" i="5" s="1"/>
  <c r="C15" i="4"/>
  <c r="E11" i="5" s="1"/>
  <c r="C13" i="4"/>
  <c r="C11" i="5" s="1"/>
  <c r="C11" i="4"/>
  <c r="G3" i="5" s="1"/>
  <c r="C9" i="4"/>
  <c r="E3" i="5" s="1"/>
  <c r="C3" i="5"/>
</calcChain>
</file>

<file path=xl/sharedStrings.xml><?xml version="1.0" encoding="utf-8"?>
<sst xmlns="http://schemas.openxmlformats.org/spreadsheetml/2006/main" count="2241" uniqueCount="586">
  <si>
    <t>Company</t>
  </si>
  <si>
    <t>Name</t>
  </si>
  <si>
    <t>Site</t>
  </si>
  <si>
    <t>Reason</t>
  </si>
  <si>
    <t>Chris Stephens</t>
  </si>
  <si>
    <t xml:space="preserve">919.299.2238 </t>
  </si>
  <si>
    <t>Corina Penn-Bartoo</t>
  </si>
  <si>
    <t xml:space="preserve">Jessica Navarro </t>
  </si>
  <si>
    <t>Jim Morrison</t>
  </si>
  <si>
    <t>Katelyn Dunnagan</t>
  </si>
  <si>
    <t>Leif Kvarnes</t>
  </si>
  <si>
    <t>Matt Zambo</t>
  </si>
  <si>
    <t>Michael Smith</t>
  </si>
  <si>
    <t>Nick Zambo</t>
  </si>
  <si>
    <t>Patrick Tolan</t>
  </si>
  <si>
    <t>Reid Kerr</t>
  </si>
  <si>
    <t>Shaundra McMillion</t>
  </si>
  <si>
    <t>Andre Brueso</t>
  </si>
  <si>
    <t>919.607.8585</t>
  </si>
  <si>
    <t xml:space="preserve">Ketut Sudipo   </t>
  </si>
  <si>
    <t xml:space="preserve">919.412.0431 </t>
  </si>
  <si>
    <t>Scott Maeger</t>
  </si>
  <si>
    <t>573.702.4152</t>
  </si>
  <si>
    <t xml:space="preserve">Shane Spears  </t>
  </si>
  <si>
    <t xml:space="preserve">314.308.9482 </t>
  </si>
  <si>
    <t>Chris Harris</t>
  </si>
  <si>
    <t>919.748.0108</t>
  </si>
  <si>
    <t>Michael Bond</t>
  </si>
  <si>
    <t>434.713.6920</t>
  </si>
  <si>
    <t>Wilson Revenaugh</t>
  </si>
  <si>
    <t>984.439.4463</t>
  </si>
  <si>
    <t>817.946.5540</t>
  </si>
  <si>
    <t>David Sheridan</t>
  </si>
  <si>
    <t>337.526.1895</t>
  </si>
  <si>
    <t>Douglas Amatulli</t>
  </si>
  <si>
    <t>954.594.7520</t>
  </si>
  <si>
    <t xml:space="preserve">James Proctor  </t>
  </si>
  <si>
    <t>318.613.1178</t>
  </si>
  <si>
    <t xml:space="preserve">Jared McCullar   </t>
  </si>
  <si>
    <t>832.703.4670</t>
  </si>
  <si>
    <t xml:space="preserve">Jason Owen  </t>
  </si>
  <si>
    <t>Keith Malone</t>
  </si>
  <si>
    <t>316.841.9218</t>
  </si>
  <si>
    <t xml:space="preserve">Keith Norland </t>
  </si>
  <si>
    <t>316.841.9218.</t>
  </si>
  <si>
    <t>Mark Ramirez</t>
  </si>
  <si>
    <t>281.840.2052</t>
  </si>
  <si>
    <t>Martin Klemm</t>
  </si>
  <si>
    <t>720.670.6813</t>
  </si>
  <si>
    <t>Robert Hamilton</t>
  </si>
  <si>
    <t>619.977.5335</t>
  </si>
  <si>
    <t>Clark Gurganus</t>
  </si>
  <si>
    <t>252.217.8251</t>
  </si>
  <si>
    <t>Keith Simpson</t>
  </si>
  <si>
    <t>336.840.4417</t>
  </si>
  <si>
    <t>NARENCO</t>
  </si>
  <si>
    <t>John Weiver</t>
  </si>
  <si>
    <t xml:space="preserve">919.912.6273 </t>
  </si>
  <si>
    <t xml:space="preserve">Thorn Locklear  </t>
  </si>
  <si>
    <t>910.930.1164</t>
  </si>
  <si>
    <t>NCEMC</t>
  </si>
  <si>
    <t>Amy Roswick</t>
  </si>
  <si>
    <t>919.645.2262</t>
  </si>
  <si>
    <t xml:space="preserve">Bryan Purvis   </t>
  </si>
  <si>
    <t xml:space="preserve">919.618.4169 </t>
  </si>
  <si>
    <t xml:space="preserve">Carlton Lewis   </t>
  </si>
  <si>
    <t xml:space="preserve">919.218.5583 </t>
  </si>
  <si>
    <t>Chris Kehier</t>
  </si>
  <si>
    <t>919.630.1415</t>
  </si>
  <si>
    <t>Dan Lilley</t>
  </si>
  <si>
    <t>919.618.1769</t>
  </si>
  <si>
    <t>Eric Hall</t>
  </si>
  <si>
    <t xml:space="preserve">John Lemire   </t>
  </si>
  <si>
    <t xml:space="preserve">919.210.8373 </t>
  </si>
  <si>
    <t xml:space="preserve">Tim Gubitz  </t>
  </si>
  <si>
    <t>252.469.4522</t>
  </si>
  <si>
    <t xml:space="preserve">Tyler Bellomy  </t>
  </si>
  <si>
    <t xml:space="preserve">Ralph Harris </t>
  </si>
  <si>
    <t>336.964.1037</t>
  </si>
  <si>
    <t>Landon Woods</t>
  </si>
  <si>
    <t>434.251.5220</t>
  </si>
  <si>
    <t xml:space="preserve">Brice Willeford </t>
  </si>
  <si>
    <t>980.408.0029</t>
  </si>
  <si>
    <t>Shashank Subramaniam</t>
  </si>
  <si>
    <t>980.260.8847</t>
  </si>
  <si>
    <t>Tesla</t>
  </si>
  <si>
    <t xml:space="preserve">Dellon Carter </t>
  </si>
  <si>
    <t>910.221.6872</t>
  </si>
  <si>
    <t xml:space="preserve">Maurice Pole   </t>
  </si>
  <si>
    <t>980.210.4046</t>
  </si>
  <si>
    <t>Tim Thomas</t>
  </si>
  <si>
    <t xml:space="preserve">T W Allen  </t>
  </si>
  <si>
    <t>252.943.1483</t>
  </si>
  <si>
    <t xml:space="preserve">Bryan Oakley </t>
  </si>
  <si>
    <t>919.495.5848</t>
  </si>
  <si>
    <t>Harley Ludlum</t>
  </si>
  <si>
    <t xml:space="preserve"> 984.227.2781</t>
  </si>
  <si>
    <t>Ramey Chamblin</t>
  </si>
  <si>
    <t>919.618.8538</t>
  </si>
  <si>
    <t>910.916.3901</t>
  </si>
  <si>
    <t>Ryan Collin</t>
  </si>
  <si>
    <t>919.299.2238</t>
  </si>
  <si>
    <t>Samantha Haslam</t>
  </si>
  <si>
    <t>Phone</t>
  </si>
  <si>
    <t>Estimate Time on Site</t>
  </si>
  <si>
    <t>HVAC</t>
  </si>
  <si>
    <t>Inverter</t>
  </si>
  <si>
    <t>Troubleshooting</t>
  </si>
  <si>
    <t>Maintenance</t>
  </si>
  <si>
    <t>Tour</t>
  </si>
  <si>
    <t>919.741.7341</t>
  </si>
  <si>
    <t>408.891.3064</t>
  </si>
  <si>
    <t>Sites</t>
  </si>
  <si>
    <t>Arba</t>
  </si>
  <si>
    <t>Butler Farms</t>
  </si>
  <si>
    <t>Collier</t>
  </si>
  <si>
    <t>Eagle Chase</t>
  </si>
  <si>
    <t>Five Points</t>
  </si>
  <si>
    <t>Grissom</t>
  </si>
  <si>
    <t>Hall</t>
  </si>
  <si>
    <t>Hamlet</t>
  </si>
  <si>
    <t>Herons Nest</t>
  </si>
  <si>
    <t>Lowe</t>
  </si>
  <si>
    <t>Ludie Brown</t>
  </si>
  <si>
    <t>Maysville</t>
  </si>
  <si>
    <t>McKinney</t>
  </si>
  <si>
    <t>New Rosewood</t>
  </si>
  <si>
    <t>Ocracoke</t>
  </si>
  <si>
    <t>Old Cedar</t>
  </si>
  <si>
    <t>Queens Creek</t>
  </si>
  <si>
    <t>Rocky Point</t>
  </si>
  <si>
    <t>Rose Acre</t>
  </si>
  <si>
    <t>Spencer</t>
  </si>
  <si>
    <t>Zion Hill</t>
  </si>
  <si>
    <t>Fire Watch</t>
  </si>
  <si>
    <t>Notes</t>
  </si>
  <si>
    <t>Alarm Types</t>
  </si>
  <si>
    <t>Battery</t>
  </si>
  <si>
    <t>PV/Solar</t>
  </si>
  <si>
    <t>Other</t>
  </si>
  <si>
    <t>Comm</t>
  </si>
  <si>
    <t>Emergency</t>
  </si>
  <si>
    <t>Yes</t>
  </si>
  <si>
    <t>No</t>
  </si>
  <si>
    <t>UAR Ticket Type</t>
  </si>
  <si>
    <t>Solar</t>
  </si>
  <si>
    <t>Both</t>
  </si>
  <si>
    <t>Batteries</t>
  </si>
  <si>
    <t>Environmental</t>
  </si>
  <si>
    <t>Inspection</t>
  </si>
  <si>
    <t>PM</t>
  </si>
  <si>
    <t>Readings</t>
  </si>
  <si>
    <t>Wake RJ3</t>
  </si>
  <si>
    <t>South River H4</t>
  </si>
  <si>
    <t>Van Tran</t>
  </si>
  <si>
    <t>832.334.2034</t>
  </si>
  <si>
    <t>Date Orig.: 8/4/23</t>
  </si>
  <si>
    <t xml:space="preserve">Page: 1 of </t>
  </si>
  <si>
    <t>Keith Clark</t>
  </si>
  <si>
    <t>Continuous, Information or Reference</t>
  </si>
  <si>
    <t>Electrical Operations</t>
  </si>
  <si>
    <t>Document Owner</t>
  </si>
  <si>
    <t>Level of Use</t>
  </si>
  <si>
    <t>Sponsoring Department</t>
  </si>
  <si>
    <t>Document #: ELO-PRO-141</t>
  </si>
  <si>
    <t>Information Note Spreadsheet</t>
  </si>
  <si>
    <t>Revision History</t>
  </si>
  <si>
    <t>Date Revised</t>
  </si>
  <si>
    <t>Rev. #</t>
  </si>
  <si>
    <t>Description of Revision</t>
  </si>
  <si>
    <t>Created/Revised By</t>
  </si>
  <si>
    <t>Original Document</t>
  </si>
  <si>
    <t>KWC</t>
  </si>
  <si>
    <t>Jim Williams</t>
  </si>
  <si>
    <t>910.330.6607</t>
  </si>
  <si>
    <t>Breaker Reset</t>
  </si>
  <si>
    <t>PG Solar</t>
  </si>
  <si>
    <t>Freightline</t>
  </si>
  <si>
    <t>Holly Swamp</t>
  </si>
  <si>
    <t>Murphy</t>
  </si>
  <si>
    <t>Added Solar Only Sites</t>
  </si>
  <si>
    <t>Added Save Buttons</t>
  </si>
  <si>
    <t>Anthony Denson</t>
  </si>
  <si>
    <t>770.549.5412</t>
  </si>
  <si>
    <t>Brandon Arrowood</t>
  </si>
  <si>
    <t>704.600.5141</t>
  </si>
  <si>
    <t>Chad Ward</t>
  </si>
  <si>
    <t>318.730.7751</t>
  </si>
  <si>
    <t>Dan Marion</t>
  </si>
  <si>
    <t>Hubbard Chapman</t>
  </si>
  <si>
    <t>919.497.2557</t>
  </si>
  <si>
    <t>Jay Hughes</t>
  </si>
  <si>
    <t>919.210.5030</t>
  </si>
  <si>
    <t>Leonard Vega</t>
  </si>
  <si>
    <t>678.614.0754</t>
  </si>
  <si>
    <t>Logan Hale</t>
  </si>
  <si>
    <t>252.799.6441</t>
  </si>
  <si>
    <t>Mateo Lawson</t>
  </si>
  <si>
    <t>252.767.4749</t>
  </si>
  <si>
    <t>Max Mattia</t>
  </si>
  <si>
    <t>919.368.1057</t>
  </si>
  <si>
    <t>Richard Strahin</t>
  </si>
  <si>
    <t>984.227.2781</t>
  </si>
  <si>
    <t>Sidney Colbert</t>
  </si>
  <si>
    <t>CAMS</t>
  </si>
  <si>
    <t>910.778.3545</t>
  </si>
  <si>
    <t>Terry Fell</t>
  </si>
  <si>
    <t>984.439.9994</t>
  </si>
  <si>
    <t>Trayvon Jones</t>
  </si>
  <si>
    <t>843.996.8668</t>
  </si>
  <si>
    <t>Tyrese Artis</t>
  </si>
  <si>
    <t>919.750.1817</t>
  </si>
  <si>
    <t>Angel Ruiz</t>
  </si>
  <si>
    <t>713.899.1757</t>
  </si>
  <si>
    <t>Bob Larson</t>
  </si>
  <si>
    <t>OATI</t>
  </si>
  <si>
    <t>763.233.2249</t>
  </si>
  <si>
    <t>Camron Carey</t>
  </si>
  <si>
    <t>984.309.5113</t>
  </si>
  <si>
    <t>Testing</t>
  </si>
  <si>
    <t>Carson Yang</t>
  </si>
  <si>
    <t>281-748-4327</t>
  </si>
  <si>
    <t>Miscellaneous</t>
  </si>
  <si>
    <t>Commissioning</t>
  </si>
  <si>
    <t>CS14</t>
  </si>
  <si>
    <t>Danny LoCicero</t>
  </si>
  <si>
    <t>919.632.0462</t>
  </si>
  <si>
    <t>Roanoke GFS-9</t>
  </si>
  <si>
    <t>Medoc</t>
  </si>
  <si>
    <t>Don Flowers</t>
  </si>
  <si>
    <t>919.810.6300</t>
  </si>
  <si>
    <t>Jeff Hayden</t>
  </si>
  <si>
    <t>256.404.7162</t>
  </si>
  <si>
    <t>Lee Ragsdale</t>
  </si>
  <si>
    <t>919.622.3676</t>
  </si>
  <si>
    <t>Mario Castroagular</t>
  </si>
  <si>
    <t>252.560.2844</t>
  </si>
  <si>
    <t>Nicholas Cain</t>
  </si>
  <si>
    <t>919.724.0311</t>
  </si>
  <si>
    <t>Nick Hudgins</t>
  </si>
  <si>
    <t>984.363.7537</t>
  </si>
  <si>
    <t xml:space="preserve">Tony Barrow </t>
  </si>
  <si>
    <t>252.531.1282</t>
  </si>
  <si>
    <t>Travis Williams</t>
  </si>
  <si>
    <t>919.748.2019</t>
  </si>
  <si>
    <t>Tyler Smith</t>
  </si>
  <si>
    <t>763.464.4891</t>
  </si>
  <si>
    <t>AccentuateStaffing</t>
  </si>
  <si>
    <t>ActsPowerServices</t>
  </si>
  <si>
    <t>AEMPower</t>
  </si>
  <si>
    <t>AlernativeEnergy</t>
  </si>
  <si>
    <t>AXISEnergy</t>
  </si>
  <si>
    <t>AzimuthEnergy</t>
  </si>
  <si>
    <t>CarolinaSolarServices</t>
  </si>
  <si>
    <t>Flexgen</t>
  </si>
  <si>
    <t>GurganusSolarCare</t>
  </si>
  <si>
    <t>JonesOnslowEMC</t>
  </si>
  <si>
    <t>LomanGarret</t>
  </si>
  <si>
    <t>PurePower</t>
  </si>
  <si>
    <t>Renewance</t>
  </si>
  <si>
    <t>ThompsonLandscaping</t>
  </si>
  <si>
    <t>TidelandEMC</t>
  </si>
  <si>
    <t>WakeElectric</t>
  </si>
  <si>
    <t>Clou</t>
  </si>
  <si>
    <t>RavenVolt</t>
  </si>
  <si>
    <t>CES</t>
  </si>
  <si>
    <t>KEMPower</t>
  </si>
  <si>
    <t>GEOtechnologies</t>
  </si>
  <si>
    <t>AirInternational</t>
  </si>
  <si>
    <t>Archie Horne Substation</t>
  </si>
  <si>
    <t xml:space="preserve">Alleghany County </t>
  </si>
  <si>
    <t xml:space="preserve">Butler Substation </t>
  </si>
  <si>
    <t>Collier Substation</t>
  </si>
  <si>
    <t xml:space="preserve">Ashe County </t>
  </si>
  <si>
    <t>Doc's Road Substation</t>
  </si>
  <si>
    <t xml:space="preserve">Brunswick Bolivia </t>
  </si>
  <si>
    <t>Double Creek Substation</t>
  </si>
  <si>
    <t xml:space="preserve">Brunswick Peacock </t>
  </si>
  <si>
    <t>Fairfield Harbor Substation</t>
  </si>
  <si>
    <t>Five Points Substation</t>
  </si>
  <si>
    <t>Maysville Substation</t>
  </si>
  <si>
    <t xml:space="preserve">Caldwell County </t>
  </si>
  <si>
    <t>McKinney Substation</t>
  </si>
  <si>
    <t xml:space="preserve">Cape Hatteras </t>
  </si>
  <si>
    <t>Mclauchlin Substation</t>
  </si>
  <si>
    <t xml:space="preserve">Central EMC </t>
  </si>
  <si>
    <t>CS14*</t>
  </si>
  <si>
    <t>Queens Creek Substation</t>
  </si>
  <si>
    <t>Rocky Point Substation</t>
  </si>
  <si>
    <t>Walkers Crossroad Substation</t>
  </si>
  <si>
    <t>Zion Hill Substation</t>
  </si>
  <si>
    <t>PittGreenElectric</t>
  </si>
  <si>
    <t>RevisionSolarLLC</t>
  </si>
  <si>
    <t>SchweitzerEng</t>
  </si>
  <si>
    <t xml:space="preserve">Lumbee River </t>
  </si>
  <si>
    <t xml:space="preserve">PeeDee </t>
  </si>
  <si>
    <t xml:space="preserve">Piedmont </t>
  </si>
  <si>
    <t>Piedmont  1 Roxboro</t>
  </si>
  <si>
    <t>Piedmont  2 Caswell</t>
  </si>
  <si>
    <t xml:space="preserve">Randolph </t>
  </si>
  <si>
    <t>Surry Yadkin 1 &amp; 2</t>
  </si>
  <si>
    <t>Tideland 1 &amp; 2</t>
  </si>
  <si>
    <t xml:space="preserve">Watauga County </t>
  </si>
  <si>
    <t>York*</t>
  </si>
  <si>
    <t>Abdule Faal</t>
  </si>
  <si>
    <t>910.523.4112</t>
  </si>
  <si>
    <t>Alex Zizumbo</t>
  </si>
  <si>
    <t>FortressFencing</t>
  </si>
  <si>
    <t>336.521.6551</t>
  </si>
  <si>
    <t>Alfredo Espinoza</t>
  </si>
  <si>
    <t>863.991.0481</t>
  </si>
  <si>
    <t>Allen Liu</t>
  </si>
  <si>
    <t>518.948.5405</t>
  </si>
  <si>
    <t>Antonio Overton</t>
  </si>
  <si>
    <t>919.943.6472</t>
  </si>
  <si>
    <t>Brad Harley</t>
  </si>
  <si>
    <t>317.864.6054</t>
  </si>
  <si>
    <t>Brandon Collins</t>
  </si>
  <si>
    <t>281.757.8581</t>
  </si>
  <si>
    <t>Brian Shea</t>
  </si>
  <si>
    <t>984.265.9413</t>
  </si>
  <si>
    <t>Brock Phillips</t>
  </si>
  <si>
    <t>984.569.0747</t>
  </si>
  <si>
    <t>Carey Balyeat</t>
  </si>
  <si>
    <t>847.525.0370</t>
  </si>
  <si>
    <t>Carl Little</t>
  </si>
  <si>
    <t>984.333.0416</t>
  </si>
  <si>
    <t>Christopher Blaylock</t>
  </si>
  <si>
    <t>832.381.7699</t>
  </si>
  <si>
    <t>Culley Cook</t>
  </si>
  <si>
    <t>706.614.8831</t>
  </si>
  <si>
    <t>David Woodruff</t>
  </si>
  <si>
    <t>318.664.3278</t>
  </si>
  <si>
    <t>Deepthis Ramani</t>
  </si>
  <si>
    <t>949.558.4532</t>
  </si>
  <si>
    <t>Duc Nguyen</t>
  </si>
  <si>
    <t>602.781.9707</t>
  </si>
  <si>
    <t>Eric Williams</t>
  </si>
  <si>
    <t>860.227.7062</t>
  </si>
  <si>
    <t>Estaban Samaniego</t>
  </si>
  <si>
    <t>713.930.5554</t>
  </si>
  <si>
    <t>Frank Brennan</t>
  </si>
  <si>
    <t>Hudson Lemoine</t>
  </si>
  <si>
    <t>318.792.3216</t>
  </si>
  <si>
    <t>Ivan Hanson</t>
  </si>
  <si>
    <t>984.364.0504</t>
  </si>
  <si>
    <t>Jacob Riner</t>
  </si>
  <si>
    <t>602.710.0135</t>
  </si>
  <si>
    <t>Jay Chen</t>
  </si>
  <si>
    <t>480.233.1903</t>
  </si>
  <si>
    <t>Joe Delgado</t>
  </si>
  <si>
    <t>757.994.4893</t>
  </si>
  <si>
    <t>Jose Alvarado</t>
  </si>
  <si>
    <t>770-576-0764</t>
  </si>
  <si>
    <t>Jose Blanco</t>
  </si>
  <si>
    <t>979.900.7260</t>
  </si>
  <si>
    <t>Josh Blake</t>
  </si>
  <si>
    <t>252.561.6629</t>
  </si>
  <si>
    <t>Justin Higgins</t>
  </si>
  <si>
    <t>919.201.9895</t>
  </si>
  <si>
    <t>Justin Jones</t>
  </si>
  <si>
    <t>410.805.4786</t>
  </si>
  <si>
    <t>Logan Hayden</t>
  </si>
  <si>
    <t>256.404.5576</t>
  </si>
  <si>
    <t>Martin Zavala</t>
  </si>
  <si>
    <t>Mathew Miller</t>
  </si>
  <si>
    <t>919.257.3955</t>
  </si>
  <si>
    <t>Michael Diorio</t>
  </si>
  <si>
    <t>919.413.0294</t>
  </si>
  <si>
    <t>Mike Colletti</t>
  </si>
  <si>
    <t>SouthRiverEMC</t>
  </si>
  <si>
    <t>919.820.7115</t>
  </si>
  <si>
    <t xml:space="preserve">Mike Weiss </t>
  </si>
  <si>
    <t>832.373.8496</t>
  </si>
  <si>
    <t>Nick Liang</t>
  </si>
  <si>
    <t>718.207.9650</t>
  </si>
  <si>
    <t>Patrick Betzel</t>
  </si>
  <si>
    <t>602.373.1551</t>
  </si>
  <si>
    <t>Rashad Crawford</t>
  </si>
  <si>
    <t>678.536.7695</t>
  </si>
  <si>
    <t>Ricky Bustamante</t>
  </si>
  <si>
    <t>847.602.4159</t>
  </si>
  <si>
    <t>Ronald Keeler</t>
  </si>
  <si>
    <t>337.580.6836</t>
  </si>
  <si>
    <t>Ross Hixon</t>
  </si>
  <si>
    <t>423.762.2828</t>
  </si>
  <si>
    <t>Tanner McFarland</t>
  </si>
  <si>
    <t>515.480.1826</t>
  </si>
  <si>
    <t>Xanadu Spoutt</t>
  </si>
  <si>
    <t>847.899.3651</t>
  </si>
  <si>
    <t>TESLA</t>
  </si>
  <si>
    <t>AlternativeEnergy</t>
  </si>
  <si>
    <t>Andy Rodriguez</t>
  </si>
  <si>
    <t>956-357-2742</t>
  </si>
  <si>
    <t>AxisEnergy</t>
  </si>
  <si>
    <t>Jeremy Leader</t>
  </si>
  <si>
    <t>346.744.1589</t>
  </si>
  <si>
    <t>Leon Liang</t>
  </si>
  <si>
    <t>Risan</t>
  </si>
  <si>
    <t>929.571.4515</t>
  </si>
  <si>
    <t>Randolph Fu</t>
  </si>
  <si>
    <t>518.633.7093</t>
  </si>
  <si>
    <t>Michael Winkler</t>
  </si>
  <si>
    <t>BoothAndAssociates</t>
  </si>
  <si>
    <t>919.749.9905</t>
  </si>
  <si>
    <t>Bruce Lassiter</t>
  </si>
  <si>
    <t>RoanokeCooperative</t>
  </si>
  <si>
    <t>252.642.3114</t>
  </si>
  <si>
    <t>Belson Bao</t>
  </si>
  <si>
    <t>304.419.0991</t>
  </si>
  <si>
    <t>Raul Paredez</t>
  </si>
  <si>
    <t>847.284.9377</t>
  </si>
  <si>
    <t>Jack Xu</t>
  </si>
  <si>
    <t>781.971.4336</t>
  </si>
  <si>
    <t>Nnambi Nwasu</t>
  </si>
  <si>
    <t>217.729.2728</t>
  </si>
  <si>
    <t>Scott Wooten</t>
  </si>
  <si>
    <t>847.507.8911</t>
  </si>
  <si>
    <t>Aaron Bristol</t>
  </si>
  <si>
    <t>410.935.1601</t>
  </si>
  <si>
    <t>Anthony Likoasi</t>
  </si>
  <si>
    <t>984.218.8299</t>
  </si>
  <si>
    <t>Drew Parada</t>
  </si>
  <si>
    <t>984.4369.5401</t>
  </si>
  <si>
    <t xml:space="preserve">Tesla </t>
  </si>
  <si>
    <t>803.899.1664</t>
  </si>
  <si>
    <t>Eddie Guerrero</t>
  </si>
  <si>
    <t>919.214.1824</t>
  </si>
  <si>
    <t>Matt Wilkins</t>
  </si>
  <si>
    <t>252.341.7877</t>
  </si>
  <si>
    <t>Izais Madrid</t>
  </si>
  <si>
    <t>Daniel Dominguez</t>
  </si>
  <si>
    <t>919.802.3660</t>
  </si>
  <si>
    <t>BreitGrid</t>
  </si>
  <si>
    <t>Chaidan Rath</t>
  </si>
  <si>
    <t>940.745.8709</t>
  </si>
  <si>
    <t>Luke Dixon</t>
  </si>
  <si>
    <t>910.330.6323</t>
  </si>
  <si>
    <t>JonesOnslow</t>
  </si>
  <si>
    <t>252.578.8792</t>
  </si>
  <si>
    <t xml:space="preserve">Jeremy Allen </t>
  </si>
  <si>
    <t xml:space="preserve">Renewance </t>
  </si>
  <si>
    <t>860.857.7022</t>
  </si>
  <si>
    <t>Dustin Pike</t>
  </si>
  <si>
    <t>EasternSolarSolutions</t>
  </si>
  <si>
    <t>252.670.2389</t>
  </si>
  <si>
    <t>Essam Aljahmi</t>
  </si>
  <si>
    <t>Catl</t>
  </si>
  <si>
    <t>313.460.2658</t>
  </si>
  <si>
    <t>Freddie Espinoza</t>
  </si>
  <si>
    <t>Earth Tender</t>
  </si>
  <si>
    <t>Travis Badenstos</t>
  </si>
  <si>
    <t>331.322.3731</t>
  </si>
  <si>
    <t>Joshua Hammonds</t>
  </si>
  <si>
    <t>LumbeeRiver</t>
  </si>
  <si>
    <t>910.827.1059</t>
  </si>
  <si>
    <t>Peter Cao</t>
  </si>
  <si>
    <t>518.944.7528</t>
  </si>
  <si>
    <t>Kyle Vinbek</t>
  </si>
  <si>
    <t>CapeFearSolarSystems</t>
  </si>
  <si>
    <t>910.599.4731</t>
  </si>
  <si>
    <t>CapeFearSolarServices</t>
  </si>
  <si>
    <t>Luke Cheng</t>
  </si>
  <si>
    <t>626.660.5833</t>
  </si>
  <si>
    <t>Joe Everett</t>
  </si>
  <si>
    <t>919.268.0494</t>
  </si>
  <si>
    <t>Mark Denton</t>
  </si>
  <si>
    <t>919.495.0200</t>
  </si>
  <si>
    <t>AJ Brevard</t>
  </si>
  <si>
    <t>Tyler Dinges</t>
  </si>
  <si>
    <t>984.390.0962</t>
  </si>
  <si>
    <t>Charlie Marshburn</t>
  </si>
  <si>
    <t>984-227-3560</t>
  </si>
  <si>
    <t>Chris Lucas</t>
  </si>
  <si>
    <t>919-724-0346</t>
  </si>
  <si>
    <t>Terrance Perdue</t>
  </si>
  <si>
    <t>678.427.1012</t>
  </si>
  <si>
    <t>Lumbee River</t>
  </si>
  <si>
    <t>Rob Harris</t>
  </si>
  <si>
    <t>919.818.9470</t>
  </si>
  <si>
    <t>Aaron Will-Keck</t>
  </si>
  <si>
    <t>910.988.1207</t>
  </si>
  <si>
    <t>Domanic Sauch</t>
  </si>
  <si>
    <t>Brian Stroh</t>
  </si>
  <si>
    <t>267.618.8103</t>
  </si>
  <si>
    <t xml:space="preserve">Andrew Davis </t>
  </si>
  <si>
    <t>919.724.0342</t>
  </si>
  <si>
    <t>Clint Paige</t>
  </si>
  <si>
    <t>318.542.1652</t>
  </si>
  <si>
    <t>Chris Collins</t>
  </si>
  <si>
    <t>984.439.5401</t>
  </si>
  <si>
    <t>Faith Bayley</t>
  </si>
  <si>
    <t>Jeff Dias</t>
  </si>
  <si>
    <t>919.631.6183</t>
  </si>
  <si>
    <t xml:space="preserve">Stacy Hudson  </t>
  </si>
  <si>
    <t>Dana Latiolis</t>
  </si>
  <si>
    <t>Robbie Plenge</t>
  </si>
  <si>
    <t>984.309.5121</t>
  </si>
  <si>
    <t>Visitor List</t>
  </si>
  <si>
    <t>Today's Visitor Log</t>
  </si>
  <si>
    <t>Time In</t>
  </si>
  <si>
    <t>Time Out</t>
  </si>
  <si>
    <t>Est. Time</t>
  </si>
  <si>
    <t>UAR #</t>
  </si>
  <si>
    <t>Ticket Closed</t>
  </si>
  <si>
    <t>Alarms Clear</t>
  </si>
  <si>
    <t>Specify Alarm If Not Clear</t>
  </si>
  <si>
    <t>Davistown-Mercer Substation</t>
  </si>
  <si>
    <t xml:space="preserve">919.737.9502 </t>
  </si>
  <si>
    <t>Tabor City Community Solar</t>
  </si>
  <si>
    <t>Docs Road</t>
  </si>
  <si>
    <t>Davistown</t>
  </si>
  <si>
    <t>Archie Horne</t>
  </si>
  <si>
    <t>McLauchlin</t>
  </si>
  <si>
    <t>Butler</t>
  </si>
  <si>
    <t>Double Creek</t>
  </si>
  <si>
    <t>Fairfield Harbor</t>
  </si>
  <si>
    <t>Rosewood</t>
  </si>
  <si>
    <t>Walker Crossroad</t>
  </si>
  <si>
    <t>Complete</t>
  </si>
  <si>
    <t>Copy the block contents into the UAR entry</t>
  </si>
  <si>
    <t>Modified Layout</t>
  </si>
  <si>
    <t>Rev. #:  3</t>
  </si>
  <si>
    <t>1 hr</t>
  </si>
  <si>
    <t>2 hrs</t>
  </si>
  <si>
    <t>3 hrs</t>
  </si>
  <si>
    <t>4 hrs</t>
  </si>
  <si>
    <t>5 hrs</t>
  </si>
  <si>
    <t>6 hrs</t>
  </si>
  <si>
    <t>7 hrs</t>
  </si>
  <si>
    <t>8 hrs</t>
  </si>
  <si>
    <t>9 hrs</t>
  </si>
  <si>
    <t>10 hrs</t>
  </si>
  <si>
    <t>11 hrs</t>
  </si>
  <si>
    <t>12 hrs</t>
  </si>
  <si>
    <t>Equip upgrade</t>
  </si>
  <si>
    <t>Landscaping/Mow</t>
  </si>
  <si>
    <t>Software Prog.</t>
  </si>
  <si>
    <t>Brunswick Tabor City</t>
  </si>
  <si>
    <t>Nathan Melcher</t>
  </si>
  <si>
    <t>847.702.4591</t>
  </si>
  <si>
    <t>Chris Shepherd</t>
  </si>
  <si>
    <t>Jerry Garner</t>
  </si>
  <si>
    <t>GroundForce</t>
  </si>
  <si>
    <t>404.445.9521</t>
  </si>
  <si>
    <t>Nate Hernandez</t>
  </si>
  <si>
    <t>GlobalPowerSolutions</t>
  </si>
  <si>
    <t>210.202.9720</t>
  </si>
  <si>
    <t>Donald Lee</t>
  </si>
  <si>
    <t>209.420.4951</t>
  </si>
  <si>
    <t>Fred Reed</t>
  </si>
  <si>
    <t>804.914.3121</t>
  </si>
  <si>
    <t>Bryce Sullivan</t>
  </si>
  <si>
    <t>800.296.4074</t>
  </si>
  <si>
    <t>Travis Finn</t>
  </si>
  <si>
    <t>Noah Ridge</t>
  </si>
  <si>
    <t>Jason Norris</t>
  </si>
  <si>
    <t>910.625.7873</t>
  </si>
  <si>
    <t>Norris Lawn Care and Landscaping</t>
  </si>
  <si>
    <t>Paris Arey</t>
  </si>
  <si>
    <t>847.814.1877</t>
  </si>
  <si>
    <t>Marco Jiang</t>
  </si>
  <si>
    <t>NergonEnergy</t>
  </si>
  <si>
    <t>469.834.1059</t>
  </si>
  <si>
    <t>Adrian Blake</t>
  </si>
  <si>
    <t>302.339.7071</t>
  </si>
  <si>
    <t>Justin Oh</t>
  </si>
  <si>
    <t>217-512-0727</t>
  </si>
  <si>
    <t>Billy Collins</t>
  </si>
  <si>
    <t>WhitesElectrical</t>
  </si>
  <si>
    <t>919.888.0362</t>
  </si>
  <si>
    <t>Donald Yu</t>
  </si>
  <si>
    <t>617.750.0539</t>
  </si>
  <si>
    <t>Yesenia Hernandez</t>
  </si>
  <si>
    <t>919.935.4591</t>
  </si>
  <si>
    <t>Ouis Torres</t>
  </si>
  <si>
    <t>847.471.4977</t>
  </si>
  <si>
    <t>Tiu Rahlan</t>
  </si>
  <si>
    <t>919.696.3182</t>
  </si>
  <si>
    <t>Nathan Bullen</t>
  </si>
  <si>
    <t>984.484.1258</t>
  </si>
  <si>
    <t>Brendon Doss</t>
  </si>
  <si>
    <t>FlexGen</t>
  </si>
  <si>
    <t>919.368.9362</t>
  </si>
  <si>
    <t>Matt Miles</t>
  </si>
  <si>
    <t>252.455.3141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</si>
</sst>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1"/>
      <color rgb="FF495057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3">
    <xf numFmtId="0" fontId="0" fillId="0" borderId="0" xfId="0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4" fillId="0" borderId="0" xfId="0" applyFont="1" applyAlignment="1">
      <alignment horizontal="left"/>
    </xf>
    <xf numFmtId="0" fontId="2" fillId="0" borderId="0" xfId="1"/>
    <xf numFmtId="0" fontId="5" fillId="0" borderId="0" xfId="0" applyFont="1" applyFill="1" applyBorder="1"/>
    <xf numFmtId="0" fontId="0" fillId="0" borderId="0" xfId="0" applyBorder="1"/>
    <xf numFmtId="0" fontId="1" fillId="0" borderId="0" xfId="0" applyFont="1" applyAlignment="1">
      <alignment horizont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0" borderId="0" xfId="0" applyFont="1"/>
    <xf numFmtId="0" fontId="8" fillId="0" borderId="14" xfId="0" applyFont="1" applyBorder="1"/>
    <xf numFmtId="0" fontId="0" fillId="0" borderId="16" xfId="0" applyFont="1" applyBorder="1"/>
    <xf numFmtId="0" fontId="0" fillId="3" borderId="0" xfId="0" applyFill="1" applyAlignment="1">
      <alignment horizontal="left"/>
    </xf>
    <xf numFmtId="1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4" borderId="0" xfId="0" applyFill="1"/>
    <xf numFmtId="0" fontId="13" fillId="3" borderId="0" xfId="0" applyFont="1" applyFill="1" applyAlignment="1">
      <alignment horizontal="left"/>
    </xf>
    <xf numFmtId="0" fontId="13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 wrapText="1"/>
    </xf>
    <xf numFmtId="0" fontId="8" fillId="4" borderId="0" xfId="0" applyFont="1" applyFill="1"/>
    <xf numFmtId="164" fontId="8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0" fillId="0" borderId="0" xfId="0" applyFont="1"/>
    <xf numFmtId="0" fontId="15" fillId="0" borderId="0" xfId="0" applyFont="1"/>
    <xf numFmtId="0" fontId="15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Border="1"/>
    <xf numFmtId="0" fontId="0" fillId="0" borderId="0" xfId="0" applyFont="1" applyFill="1"/>
    <xf numFmtId="0" fontId="14" fillId="0" borderId="0" xfId="0" applyFont="1" applyBorder="1" applyAlignment="1">
      <alignment horizontal="left" vertical="center"/>
    </xf>
    <xf numFmtId="0" fontId="14" fillId="0" borderId="0" xfId="0" applyFont="1" applyBorder="1"/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/>
    <xf numFmtId="0" fontId="15" fillId="0" borderId="0" xfId="0" applyFont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0" fillId="0" borderId="0" xfId="0" applyFont="1" applyAlignment="1">
      <alignment horizontal="center" wrapText="1"/>
    </xf>
    <xf numFmtId="0" fontId="16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center" wrapText="1"/>
    </xf>
    <xf numFmtId="0" fontId="8" fillId="0" borderId="1" xfId="0" applyFont="1" applyBorder="1"/>
    <xf numFmtId="164" fontId="8" fillId="0" borderId="1" xfId="0" applyNumberFormat="1" applyFont="1" applyBorder="1"/>
    <xf numFmtId="0" fontId="8" fillId="4" borderId="1" xfId="0" applyFont="1" applyFill="1" applyBorder="1"/>
    <xf numFmtId="0" fontId="0" fillId="4" borderId="1" xfId="0" applyFill="1" applyBorder="1"/>
    <xf numFmtId="0" fontId="13" fillId="3" borderId="0" xfId="0" applyFont="1" applyFill="1" applyBorder="1" applyAlignment="1">
      <alignment horizontal="center"/>
    </xf>
    <xf numFmtId="0" fontId="8" fillId="0" borderId="0" xfId="0" applyFont="1" applyBorder="1"/>
    <xf numFmtId="0" fontId="8" fillId="4" borderId="0" xfId="0" applyFont="1" applyFill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17" fillId="3" borderId="1" xfId="0" applyFont="1" applyFill="1" applyBorder="1" applyAlignment="1">
      <alignment horizontal="center"/>
    </xf>
    <xf numFmtId="0" fontId="17" fillId="0" borderId="0" xfId="0" applyFont="1"/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11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3" xfId="0" applyFont="1" applyBorder="1" applyAlignment="1">
      <alignment vertical="top" wrapText="1"/>
    </xf>
    <xf numFmtId="0" fontId="7" fillId="0" borderId="5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7" fillId="0" borderId="9" xfId="0" applyFont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14" fontId="5" fillId="0" borderId="7" xfId="0" applyNumberFormat="1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10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8"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126365</xdr:rowOff>
    </xdr:to>
    <xdr:sp macro="" textlink="">
      <xdr:nvSpPr>
        <xdr:cNvPr id="5123" name="AutoShape 3" descr="NC Electric Cooperatives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</xdr:col>
      <xdr:colOff>667412</xdr:colOff>
      <xdr:row>4</xdr:row>
      <xdr:rowOff>53975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3210746" cy="771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7</xdr:col>
          <xdr:colOff>220980</xdr:colOff>
          <xdr:row>7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22860</xdr:rowOff>
        </xdr:from>
        <xdr:to>
          <xdr:col>7</xdr:col>
          <xdr:colOff>220980</xdr:colOff>
          <xdr:row>9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22860</xdr:rowOff>
        </xdr:from>
        <xdr:to>
          <xdr:col>7</xdr:col>
          <xdr:colOff>220980</xdr:colOff>
          <xdr:row>11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22860</xdr:rowOff>
        </xdr:from>
        <xdr:to>
          <xdr:col>7</xdr:col>
          <xdr:colOff>220980</xdr:colOff>
          <xdr:row>13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22860</xdr:rowOff>
        </xdr:from>
        <xdr:to>
          <xdr:col>7</xdr:col>
          <xdr:colOff>220980</xdr:colOff>
          <xdr:row>15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16</xdr:row>
          <xdr:rowOff>22860</xdr:rowOff>
        </xdr:from>
        <xdr:to>
          <xdr:col>7</xdr:col>
          <xdr:colOff>220980</xdr:colOff>
          <xdr:row>17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22860</xdr:rowOff>
        </xdr:from>
        <xdr:to>
          <xdr:col>7</xdr:col>
          <xdr:colOff>220980</xdr:colOff>
          <xdr:row>19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22860</xdr:rowOff>
        </xdr:from>
        <xdr:to>
          <xdr:col>7</xdr:col>
          <xdr:colOff>220980</xdr:colOff>
          <xdr:row>21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22</xdr:row>
          <xdr:rowOff>22860</xdr:rowOff>
        </xdr:from>
        <xdr:to>
          <xdr:col>7</xdr:col>
          <xdr:colOff>220980</xdr:colOff>
          <xdr:row>23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</xdr:row>
          <xdr:rowOff>30480</xdr:rowOff>
        </xdr:from>
        <xdr:to>
          <xdr:col>10</xdr:col>
          <xdr:colOff>213360</xdr:colOff>
          <xdr:row>7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8</xdr:row>
          <xdr:rowOff>22860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10</xdr:row>
          <xdr:rowOff>30480</xdr:rowOff>
        </xdr:from>
        <xdr:to>
          <xdr:col>10</xdr:col>
          <xdr:colOff>213360</xdr:colOff>
          <xdr:row>11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12</xdr:row>
          <xdr:rowOff>30480</xdr:rowOff>
        </xdr:from>
        <xdr:to>
          <xdr:col>10</xdr:col>
          <xdr:colOff>213360</xdr:colOff>
          <xdr:row>13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14</xdr:row>
          <xdr:rowOff>30480</xdr:rowOff>
        </xdr:from>
        <xdr:to>
          <xdr:col>10</xdr:col>
          <xdr:colOff>213360</xdr:colOff>
          <xdr:row>15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30480</xdr:rowOff>
        </xdr:from>
        <xdr:to>
          <xdr:col>10</xdr:col>
          <xdr:colOff>213360</xdr:colOff>
          <xdr:row>17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18</xdr:row>
          <xdr:rowOff>30480</xdr:rowOff>
        </xdr:from>
        <xdr:to>
          <xdr:col>10</xdr:col>
          <xdr:colOff>213360</xdr:colOff>
          <xdr:row>19</xdr:row>
          <xdr:rowOff>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20</xdr:row>
          <xdr:rowOff>30480</xdr:rowOff>
        </xdr:from>
        <xdr:to>
          <xdr:col>10</xdr:col>
          <xdr:colOff>213360</xdr:colOff>
          <xdr:row>21</xdr:row>
          <xdr:rowOff>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22</xdr:row>
          <xdr:rowOff>22860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22860</xdr:rowOff>
        </xdr:from>
        <xdr:to>
          <xdr:col>7</xdr:col>
          <xdr:colOff>220980</xdr:colOff>
          <xdr:row>9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22860</xdr:rowOff>
        </xdr:from>
        <xdr:to>
          <xdr:col>7</xdr:col>
          <xdr:colOff>220980</xdr:colOff>
          <xdr:row>11</xdr:row>
          <xdr:rowOff>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22860</xdr:rowOff>
        </xdr:from>
        <xdr:to>
          <xdr:col>7</xdr:col>
          <xdr:colOff>220980</xdr:colOff>
          <xdr:row>13</xdr:row>
          <xdr:rowOff>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22860</xdr:rowOff>
        </xdr:from>
        <xdr:to>
          <xdr:col>7</xdr:col>
          <xdr:colOff>220980</xdr:colOff>
          <xdr:row>21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24</xdr:row>
          <xdr:rowOff>22860</xdr:rowOff>
        </xdr:from>
        <xdr:to>
          <xdr:col>7</xdr:col>
          <xdr:colOff>220980</xdr:colOff>
          <xdr:row>25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24</xdr:row>
          <xdr:rowOff>30480</xdr:rowOff>
        </xdr:from>
        <xdr:to>
          <xdr:col>10</xdr:col>
          <xdr:colOff>213360</xdr:colOff>
          <xdr:row>24</xdr:row>
          <xdr:rowOff>175260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7</xdr:col>
          <xdr:colOff>220980</xdr:colOff>
          <xdr:row>27</xdr:row>
          <xdr:rowOff>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26</xdr:row>
          <xdr:rowOff>30480</xdr:rowOff>
        </xdr:from>
        <xdr:to>
          <xdr:col>10</xdr:col>
          <xdr:colOff>213360</xdr:colOff>
          <xdr:row>26</xdr:row>
          <xdr:rowOff>175260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521701</xdr:colOff>
      <xdr:row>0</xdr:row>
      <xdr:rowOff>29956</xdr:rowOff>
    </xdr:from>
    <xdr:to>
      <xdr:col>16</xdr:col>
      <xdr:colOff>2081</xdr:colOff>
      <xdr:row>4</xdr:row>
      <xdr:rowOff>16804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0658" y="29956"/>
          <a:ext cx="2327517" cy="708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28</xdr:row>
          <xdr:rowOff>22860</xdr:rowOff>
        </xdr:from>
        <xdr:to>
          <xdr:col>7</xdr:col>
          <xdr:colOff>213360</xdr:colOff>
          <xdr:row>28</xdr:row>
          <xdr:rowOff>182880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28</xdr:row>
          <xdr:rowOff>30480</xdr:rowOff>
        </xdr:from>
        <xdr:to>
          <xdr:col>10</xdr:col>
          <xdr:colOff>213360</xdr:colOff>
          <xdr:row>28</xdr:row>
          <xdr:rowOff>175260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30</xdr:row>
          <xdr:rowOff>22860</xdr:rowOff>
        </xdr:from>
        <xdr:to>
          <xdr:col>7</xdr:col>
          <xdr:colOff>220980</xdr:colOff>
          <xdr:row>30</xdr:row>
          <xdr:rowOff>182880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0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30</xdr:row>
          <xdr:rowOff>30480</xdr:rowOff>
        </xdr:from>
        <xdr:to>
          <xdr:col>11</xdr:col>
          <xdr:colOff>0</xdr:colOff>
          <xdr:row>30</xdr:row>
          <xdr:rowOff>175260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0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32</xdr:row>
          <xdr:rowOff>22860</xdr:rowOff>
        </xdr:from>
        <xdr:to>
          <xdr:col>7</xdr:col>
          <xdr:colOff>213360</xdr:colOff>
          <xdr:row>33</xdr:row>
          <xdr:rowOff>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0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32</xdr:row>
          <xdr:rowOff>30480</xdr:rowOff>
        </xdr:from>
        <xdr:to>
          <xdr:col>10</xdr:col>
          <xdr:colOff>213360</xdr:colOff>
          <xdr:row>32</xdr:row>
          <xdr:rowOff>175260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0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6</xdr:row>
          <xdr:rowOff>0</xdr:rowOff>
        </xdr:from>
        <xdr:to>
          <xdr:col>17</xdr:col>
          <xdr:colOff>38100</xdr:colOff>
          <xdr:row>7</xdr:row>
          <xdr:rowOff>38100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0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8</xdr:row>
          <xdr:rowOff>0</xdr:rowOff>
        </xdr:from>
        <xdr:to>
          <xdr:col>17</xdr:col>
          <xdr:colOff>38100</xdr:colOff>
          <xdr:row>9</xdr:row>
          <xdr:rowOff>38100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0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10</xdr:row>
          <xdr:rowOff>0</xdr:rowOff>
        </xdr:from>
        <xdr:to>
          <xdr:col>17</xdr:col>
          <xdr:colOff>38100</xdr:colOff>
          <xdr:row>11</xdr:row>
          <xdr:rowOff>38100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0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12</xdr:row>
          <xdr:rowOff>0</xdr:rowOff>
        </xdr:from>
        <xdr:to>
          <xdr:col>17</xdr:col>
          <xdr:colOff>38100</xdr:colOff>
          <xdr:row>13</xdr:row>
          <xdr:rowOff>38100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0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14</xdr:row>
          <xdr:rowOff>0</xdr:rowOff>
        </xdr:from>
        <xdr:to>
          <xdr:col>17</xdr:col>
          <xdr:colOff>38100</xdr:colOff>
          <xdr:row>15</xdr:row>
          <xdr:rowOff>38100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0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16</xdr:row>
          <xdr:rowOff>0</xdr:rowOff>
        </xdr:from>
        <xdr:to>
          <xdr:col>17</xdr:col>
          <xdr:colOff>38100</xdr:colOff>
          <xdr:row>17</xdr:row>
          <xdr:rowOff>38100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0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18</xdr:row>
          <xdr:rowOff>0</xdr:rowOff>
        </xdr:from>
        <xdr:to>
          <xdr:col>17</xdr:col>
          <xdr:colOff>38100</xdr:colOff>
          <xdr:row>19</xdr:row>
          <xdr:rowOff>38100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0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20</xdr:row>
          <xdr:rowOff>0</xdr:rowOff>
        </xdr:from>
        <xdr:to>
          <xdr:col>17</xdr:col>
          <xdr:colOff>38100</xdr:colOff>
          <xdr:row>21</xdr:row>
          <xdr:rowOff>38100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0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22</xdr:row>
          <xdr:rowOff>0</xdr:rowOff>
        </xdr:from>
        <xdr:to>
          <xdr:col>17</xdr:col>
          <xdr:colOff>38100</xdr:colOff>
          <xdr:row>23</xdr:row>
          <xdr:rowOff>38100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0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24</xdr:row>
          <xdr:rowOff>0</xdr:rowOff>
        </xdr:from>
        <xdr:to>
          <xdr:col>17</xdr:col>
          <xdr:colOff>38100</xdr:colOff>
          <xdr:row>25</xdr:row>
          <xdr:rowOff>38100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0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26</xdr:row>
          <xdr:rowOff>0</xdr:rowOff>
        </xdr:from>
        <xdr:to>
          <xdr:col>17</xdr:col>
          <xdr:colOff>38100</xdr:colOff>
          <xdr:row>27</xdr:row>
          <xdr:rowOff>38100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0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28</xdr:row>
          <xdr:rowOff>0</xdr:rowOff>
        </xdr:from>
        <xdr:to>
          <xdr:col>17</xdr:col>
          <xdr:colOff>38100</xdr:colOff>
          <xdr:row>29</xdr:row>
          <xdr:rowOff>38100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0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30</xdr:row>
          <xdr:rowOff>0</xdr:rowOff>
        </xdr:from>
        <xdr:to>
          <xdr:col>17</xdr:col>
          <xdr:colOff>38100</xdr:colOff>
          <xdr:row>31</xdr:row>
          <xdr:rowOff>38100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0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32</xdr:row>
          <xdr:rowOff>0</xdr:rowOff>
        </xdr:from>
        <xdr:to>
          <xdr:col>17</xdr:col>
          <xdr:colOff>38100</xdr:colOff>
          <xdr:row>33</xdr:row>
          <xdr:rowOff>38100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0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601980</xdr:colOff>
          <xdr:row>4</xdr:row>
          <xdr:rowOff>175260</xdr:rowOff>
        </xdr:from>
        <xdr:to>
          <xdr:col>20</xdr:col>
          <xdr:colOff>266700</xdr:colOff>
          <xdr:row>6</xdr:row>
          <xdr:rowOff>182880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0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47626</xdr:rowOff>
    </xdr:from>
    <xdr:to>
      <xdr:col>0</xdr:col>
      <xdr:colOff>1276527</xdr:colOff>
      <xdr:row>1</xdr:row>
      <xdr:rowOff>59056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6"/>
          <a:ext cx="1276527" cy="192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E5983-11CC-49AE-98BD-89319E1A60E8}" name="Table2" displayName="Table2" ref="A1:C202" totalsRowShown="0" headerRowDxfId="3">
  <autoFilter ref="A1:C202" xr:uid="{4126A04E-76E2-409A-8CBE-84A14F63233A}"/>
  <sortState ref="A2:C202">
    <sortCondition ref="A1:A202"/>
  </sortState>
  <tableColumns count="3">
    <tableColumn id="1" xr3:uid="{F825170C-22FD-4846-B274-6C5DF901C6FD}" name="Name" dataDxfId="2"/>
    <tableColumn id="2" xr3:uid="{639612CC-D467-466C-844A-66604875687B}" name="Company" dataDxfId="1"/>
    <tableColumn id="3" xr3:uid="{87080C74-A5F9-4BAB-82EA-ADA1AD23F506}" name="Phon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BB07-D39B-486E-A280-6F5411F47BA3}">
  <sheetPr codeName="Sheet1">
    <pageSetUpPr fitToPage="1"/>
  </sheetPr>
  <dimension ref="A1:Q34"/>
  <sheetViews>
    <sheetView showGridLines="0" tabSelected="1" zoomScale="85" zoomScaleNormal="85" zoomScalePageLayoutView="115" workbookViewId="0">
      <selection activeCell="E41" sqref="E41"/>
    </sheetView>
  </sheetViews>
  <sheetFormatPr defaultRowHeight="14.4" x14ac:dyDescent="0.3"/>
  <cols>
    <col min="1" max="1" width="2.5546875" customWidth="1"/>
    <col min="2" max="3" width="17.33203125" customWidth="1"/>
    <col min="4" max="4" width="13" customWidth="1"/>
    <col min="5" max="5" width="25.6640625" customWidth="1"/>
    <col min="6" max="6" width="6.33203125" customWidth="1"/>
    <col min="7" max="7" width="20.5546875" customWidth="1"/>
    <col min="8" max="8" width="3.44140625" customWidth="1"/>
    <col min="9" max="9" width="6.6640625" customWidth="1"/>
    <col min="10" max="10" width="6.5546875" customWidth="1"/>
    <col min="11" max="11" width="3.33203125" customWidth="1"/>
    <col min="12" max="12" width="7.88671875" customWidth="1"/>
    <col min="13" max="14" width="6.6640625" bestFit="1" customWidth="1"/>
    <col min="15" max="15" width="12.6640625" bestFit="1" customWidth="1"/>
    <col min="16" max="16" width="40.5546875" customWidth="1"/>
    <col min="17" max="17" width="6" customWidth="1"/>
  </cols>
  <sheetData>
    <row r="1" spans="1:17" ht="14.7" customHeight="1" x14ac:dyDescent="0.3">
      <c r="E1" s="24"/>
      <c r="F1" s="24"/>
      <c r="G1" s="64" t="s">
        <v>498</v>
      </c>
      <c r="H1" s="64"/>
      <c r="I1" s="64"/>
      <c r="J1" s="64"/>
      <c r="K1" s="64"/>
      <c r="L1" s="64"/>
      <c r="M1" s="64"/>
      <c r="P1" s="22"/>
    </row>
    <row r="2" spans="1:17" ht="14.7" customHeight="1" x14ac:dyDescent="0.3">
      <c r="E2" s="24"/>
      <c r="F2" s="24"/>
      <c r="G2" s="64"/>
      <c r="H2" s="64"/>
      <c r="I2" s="64"/>
      <c r="J2" s="64"/>
      <c r="K2" s="64"/>
      <c r="L2" s="64"/>
      <c r="M2" s="64"/>
      <c r="O2" s="23"/>
    </row>
    <row r="3" spans="1:17" ht="14.7" customHeight="1" x14ac:dyDescent="0.3">
      <c r="E3" s="24"/>
      <c r="F3" s="24"/>
      <c r="G3" s="64"/>
      <c r="H3" s="64"/>
      <c r="I3" s="64"/>
      <c r="J3" s="64"/>
      <c r="K3" s="64"/>
      <c r="L3" s="64"/>
      <c r="M3" s="64"/>
    </row>
    <row r="4" spans="1:17" ht="14.7" customHeight="1" x14ac:dyDescent="0.3">
      <c r="E4" s="24"/>
      <c r="F4" s="24"/>
      <c r="G4" s="64"/>
      <c r="H4" s="64"/>
      <c r="I4" s="64"/>
      <c r="J4" s="64"/>
      <c r="K4" s="64"/>
      <c r="L4" s="64"/>
      <c r="M4" s="64"/>
    </row>
    <row r="5" spans="1:17" x14ac:dyDescent="0.3">
      <c r="D5" s="12"/>
      <c r="G5" s="65">
        <f ca="1">TODAY()</f>
        <v>46062</v>
      </c>
      <c r="H5" s="66"/>
      <c r="I5" s="66"/>
      <c r="J5" s="66"/>
      <c r="K5" s="66"/>
      <c r="L5" s="66"/>
      <c r="M5" s="66"/>
    </row>
    <row r="6" spans="1:17" ht="27.6" customHeight="1" x14ac:dyDescent="0.3">
      <c r="B6" s="26" t="s">
        <v>499</v>
      </c>
      <c r="C6" s="27" t="s">
        <v>0</v>
      </c>
      <c r="D6" s="27" t="s">
        <v>103</v>
      </c>
      <c r="E6" s="27" t="s">
        <v>2</v>
      </c>
      <c r="F6" s="28" t="s">
        <v>502</v>
      </c>
      <c r="G6" s="27" t="s">
        <v>3</v>
      </c>
      <c r="H6" s="21"/>
      <c r="I6" s="28" t="s">
        <v>500</v>
      </c>
      <c r="J6" s="55" t="s">
        <v>503</v>
      </c>
      <c r="K6" s="50"/>
      <c r="L6" s="50" t="s">
        <v>501</v>
      </c>
      <c r="M6" s="50" t="s">
        <v>504</v>
      </c>
      <c r="N6" s="50" t="s">
        <v>505</v>
      </c>
      <c r="O6" s="50" t="s">
        <v>506</v>
      </c>
      <c r="P6" s="50" t="s">
        <v>135</v>
      </c>
      <c r="Q6" s="61" t="s">
        <v>519</v>
      </c>
    </row>
    <row r="7" spans="1:17" x14ac:dyDescent="0.3">
      <c r="A7" s="62">
        <v>1</v>
      </c>
      <c r="B7" s="12"/>
      <c r="C7" s="63" t="e">
        <f>LOOKUP(B7,Table2[Name],Table2[Company])</f>
        <v>#N/A</v>
      </c>
      <c r="D7" s="12" t="e">
        <f>LOOKUP(B7,Table2[Name],Table2[Phone])</f>
        <v>#N/A</v>
      </c>
      <c r="E7" s="63"/>
      <c r="F7" s="12"/>
      <c r="G7" s="12"/>
      <c r="I7" s="30"/>
      <c r="J7" s="56"/>
      <c r="K7" s="15"/>
      <c r="L7" s="52"/>
      <c r="M7" s="51"/>
      <c r="N7" s="51"/>
      <c r="O7" s="51"/>
      <c r="P7" s="15"/>
      <c r="Q7" s="15"/>
    </row>
    <row r="8" spans="1:17" ht="13.5" customHeight="1" x14ac:dyDescent="0.3">
      <c r="A8" s="62"/>
      <c r="B8" s="29"/>
      <c r="C8" s="29"/>
      <c r="D8" s="29"/>
      <c r="E8" s="29"/>
      <c r="F8" s="29"/>
      <c r="G8" s="29"/>
      <c r="H8" s="25"/>
      <c r="I8" s="29"/>
      <c r="J8" s="57"/>
      <c r="K8" s="54"/>
      <c r="L8" s="53"/>
      <c r="M8" s="53"/>
      <c r="N8" s="53"/>
      <c r="O8" s="53"/>
      <c r="P8" s="54"/>
      <c r="Q8" s="54"/>
    </row>
    <row r="9" spans="1:17" x14ac:dyDescent="0.3">
      <c r="A9" s="62">
        <v>2</v>
      </c>
      <c r="B9" s="12"/>
      <c r="C9" s="63" t="e">
        <f>LOOKUP(B9,Table2[Name],Table2[Company])</f>
        <v>#N/A</v>
      </c>
      <c r="D9" s="12" t="e">
        <f>LOOKUP(B9,Table2[Name],Table2[Phone])</f>
        <v>#N/A</v>
      </c>
      <c r="E9" s="63"/>
      <c r="F9" s="12"/>
      <c r="G9" s="12"/>
      <c r="I9" s="30"/>
      <c r="J9" s="56"/>
      <c r="K9" s="15"/>
      <c r="L9" s="52"/>
      <c r="M9" s="51"/>
      <c r="N9" s="51"/>
      <c r="O9" s="51"/>
      <c r="P9" s="15"/>
      <c r="Q9" s="15"/>
    </row>
    <row r="10" spans="1:17" ht="13.5" customHeight="1" x14ac:dyDescent="0.3">
      <c r="A10" s="62"/>
      <c r="B10" s="29"/>
      <c r="C10" s="29"/>
      <c r="D10" s="29"/>
      <c r="E10" s="29"/>
      <c r="F10" s="29"/>
      <c r="G10" s="29"/>
      <c r="H10" s="25"/>
      <c r="I10" s="29"/>
      <c r="J10" s="57"/>
      <c r="K10" s="54"/>
      <c r="L10" s="53"/>
      <c r="M10" s="53"/>
      <c r="N10" s="53"/>
      <c r="O10" s="53"/>
      <c r="P10" s="54"/>
      <c r="Q10" s="54"/>
    </row>
    <row r="11" spans="1:17" x14ac:dyDescent="0.3">
      <c r="A11" s="62">
        <v>3</v>
      </c>
      <c r="B11" s="12"/>
      <c r="C11" s="63" t="e">
        <f>LOOKUP(B11,Table2[Name],Table2[Company])</f>
        <v>#N/A</v>
      </c>
      <c r="D11" s="12" t="e">
        <f>LOOKUP(B11,Table2[Name],Table2[Phone])</f>
        <v>#N/A</v>
      </c>
      <c r="E11" s="63"/>
      <c r="F11" s="12"/>
      <c r="G11" s="12"/>
      <c r="I11" s="30"/>
      <c r="J11" s="56"/>
      <c r="K11" s="15"/>
      <c r="L11" s="52"/>
      <c r="M11" s="51"/>
      <c r="N11" s="51"/>
      <c r="O11" s="51"/>
      <c r="P11" s="15"/>
      <c r="Q11" s="15"/>
    </row>
    <row r="12" spans="1:17" ht="13.5" customHeight="1" x14ac:dyDescent="0.3">
      <c r="A12" s="62"/>
      <c r="B12" s="29"/>
      <c r="C12" s="29"/>
      <c r="D12" s="29"/>
      <c r="E12" s="29"/>
      <c r="F12" s="29"/>
      <c r="G12" s="29"/>
      <c r="H12" s="25"/>
      <c r="I12" s="29"/>
      <c r="J12" s="57"/>
      <c r="K12" s="54"/>
      <c r="L12" s="53"/>
      <c r="M12" s="53"/>
      <c r="N12" s="53"/>
      <c r="O12" s="53"/>
      <c r="P12" s="54"/>
      <c r="Q12" s="54"/>
    </row>
    <row r="13" spans="1:17" x14ac:dyDescent="0.3">
      <c r="A13" s="62">
        <v>4</v>
      </c>
      <c r="B13" s="12"/>
      <c r="C13" s="63" t="e">
        <f>LOOKUP(B13,Table2[Name],Table2[Company])</f>
        <v>#N/A</v>
      </c>
      <c r="D13" s="12" t="e">
        <f>LOOKUP(B13,Table2[Name],Table2[Phone])</f>
        <v>#N/A</v>
      </c>
      <c r="E13" s="63"/>
      <c r="F13" s="12"/>
      <c r="G13" s="12"/>
      <c r="I13" s="30"/>
      <c r="J13" s="56"/>
      <c r="K13" s="15"/>
      <c r="L13" s="52"/>
      <c r="M13" s="51"/>
      <c r="N13" s="51"/>
      <c r="O13" s="51"/>
      <c r="P13" s="15"/>
      <c r="Q13" s="15"/>
    </row>
    <row r="14" spans="1:17" ht="13.5" customHeight="1" x14ac:dyDescent="0.3">
      <c r="A14" s="62"/>
      <c r="B14" s="29"/>
      <c r="C14" s="29"/>
      <c r="D14" s="29"/>
      <c r="E14" s="29"/>
      <c r="F14" s="29"/>
      <c r="G14" s="29"/>
      <c r="H14" s="25"/>
      <c r="I14" s="29"/>
      <c r="J14" s="57"/>
      <c r="K14" s="54"/>
      <c r="L14" s="53"/>
      <c r="M14" s="53"/>
      <c r="N14" s="53"/>
      <c r="O14" s="53"/>
      <c r="P14" s="54"/>
      <c r="Q14" s="54"/>
    </row>
    <row r="15" spans="1:17" x14ac:dyDescent="0.3">
      <c r="A15" s="62">
        <v>5</v>
      </c>
      <c r="B15" s="12"/>
      <c r="C15" s="63" t="e">
        <f>LOOKUP(B15,Table2[Name],Table2[Company])</f>
        <v>#N/A</v>
      </c>
      <c r="D15" s="12" t="e">
        <f>LOOKUP(B15,Table2[Name],Table2[Phone])</f>
        <v>#N/A</v>
      </c>
      <c r="E15" s="63"/>
      <c r="F15" s="12"/>
      <c r="G15" s="12"/>
      <c r="I15" s="30"/>
      <c r="J15" s="56"/>
      <c r="K15" s="15"/>
      <c r="L15" s="52"/>
      <c r="M15" s="51"/>
      <c r="N15" s="51"/>
      <c r="O15" s="51"/>
      <c r="P15" s="15"/>
      <c r="Q15" s="15"/>
    </row>
    <row r="16" spans="1:17" ht="13.5" customHeight="1" x14ac:dyDescent="0.3">
      <c r="A16" s="62"/>
      <c r="B16" s="29"/>
      <c r="C16" s="29"/>
      <c r="D16" s="29"/>
      <c r="E16" s="29"/>
      <c r="F16" s="29"/>
      <c r="G16" s="29"/>
      <c r="H16" s="25"/>
      <c r="I16" s="29"/>
      <c r="J16" s="57"/>
      <c r="K16" s="54"/>
      <c r="L16" s="53"/>
      <c r="M16" s="53"/>
      <c r="N16" s="53"/>
      <c r="O16" s="53"/>
      <c r="P16" s="54"/>
      <c r="Q16" s="54"/>
    </row>
    <row r="17" spans="1:17" x14ac:dyDescent="0.3">
      <c r="A17" s="62">
        <v>6</v>
      </c>
      <c r="B17" s="12"/>
      <c r="C17" s="63" t="e">
        <f>LOOKUP(B17,Table2[Name],Table2[Company])</f>
        <v>#N/A</v>
      </c>
      <c r="D17" s="12" t="e">
        <f>LOOKUP(B17,Table2[Name],Table2[Phone])</f>
        <v>#N/A</v>
      </c>
      <c r="E17" s="63"/>
      <c r="F17" s="12"/>
      <c r="G17" s="12"/>
      <c r="I17" s="30"/>
      <c r="J17" s="56"/>
      <c r="K17" s="15"/>
      <c r="L17" s="52"/>
      <c r="M17" s="51"/>
      <c r="N17" s="51"/>
      <c r="O17" s="51"/>
      <c r="P17" s="15"/>
      <c r="Q17" s="15"/>
    </row>
    <row r="18" spans="1:17" ht="13.5" customHeight="1" x14ac:dyDescent="0.3">
      <c r="A18" s="62"/>
      <c r="B18" s="29"/>
      <c r="C18" s="29"/>
      <c r="D18" s="29"/>
      <c r="E18" s="29"/>
      <c r="F18" s="29"/>
      <c r="G18" s="29"/>
      <c r="H18" s="25"/>
      <c r="I18" s="29"/>
      <c r="J18" s="57"/>
      <c r="K18" s="54"/>
      <c r="L18" s="53"/>
      <c r="M18" s="53"/>
      <c r="N18" s="53"/>
      <c r="O18" s="53"/>
      <c r="P18" s="54"/>
      <c r="Q18" s="54"/>
    </row>
    <row r="19" spans="1:17" x14ac:dyDescent="0.3">
      <c r="A19" s="62">
        <v>7</v>
      </c>
      <c r="B19" s="12"/>
      <c r="C19" s="63" t="e">
        <f>LOOKUP(B19,Table2[Name],Table2[Company])</f>
        <v>#N/A</v>
      </c>
      <c r="D19" s="12" t="e">
        <f>LOOKUP(B19,Table2[Name],Table2[Phone])</f>
        <v>#N/A</v>
      </c>
      <c r="E19" s="63"/>
      <c r="F19" s="12"/>
      <c r="G19" s="12"/>
      <c r="I19" s="30"/>
      <c r="J19" s="56"/>
      <c r="K19" s="15"/>
      <c r="L19" s="52"/>
      <c r="M19" s="51"/>
      <c r="N19" s="51"/>
      <c r="O19" s="51"/>
      <c r="P19" s="15"/>
      <c r="Q19" s="15"/>
    </row>
    <row r="20" spans="1:17" ht="13.5" customHeight="1" x14ac:dyDescent="0.3">
      <c r="A20" s="62"/>
      <c r="B20" s="29"/>
      <c r="C20" s="29"/>
      <c r="D20" s="29"/>
      <c r="E20" s="29"/>
      <c r="F20" s="29"/>
      <c r="G20" s="29"/>
      <c r="H20" s="25"/>
      <c r="I20" s="29"/>
      <c r="J20" s="57"/>
      <c r="K20" s="54"/>
      <c r="L20" s="53"/>
      <c r="M20" s="53"/>
      <c r="N20" s="53"/>
      <c r="O20" s="53"/>
      <c r="P20" s="54"/>
      <c r="Q20" s="54"/>
    </row>
    <row r="21" spans="1:17" x14ac:dyDescent="0.3">
      <c r="A21" s="62">
        <v>8</v>
      </c>
      <c r="B21" s="12"/>
      <c r="C21" s="63" t="e">
        <f>LOOKUP(B21,Table2[Name],Table2[Company])</f>
        <v>#N/A</v>
      </c>
      <c r="D21" s="12" t="e">
        <f>LOOKUP(B21,Table2[Name],Table2[Phone])</f>
        <v>#N/A</v>
      </c>
      <c r="E21" s="63"/>
      <c r="F21" s="12"/>
      <c r="G21" s="12"/>
      <c r="I21" s="30"/>
      <c r="J21" s="56"/>
      <c r="K21" s="15"/>
      <c r="L21" s="52"/>
      <c r="M21" s="51"/>
      <c r="N21" s="51"/>
      <c r="O21" s="51"/>
      <c r="P21" s="15"/>
      <c r="Q21" s="15"/>
    </row>
    <row r="22" spans="1:17" ht="13.5" customHeight="1" x14ac:dyDescent="0.3">
      <c r="A22" s="62"/>
      <c r="B22" s="29"/>
      <c r="C22" s="29"/>
      <c r="D22" s="29"/>
      <c r="E22" s="29"/>
      <c r="F22" s="29"/>
      <c r="G22" s="29"/>
      <c r="H22" s="25"/>
      <c r="I22" s="29"/>
      <c r="J22" s="57"/>
      <c r="K22" s="54"/>
      <c r="L22" s="53"/>
      <c r="M22" s="53"/>
      <c r="N22" s="53"/>
      <c r="O22" s="53"/>
      <c r="P22" s="54"/>
      <c r="Q22" s="54"/>
    </row>
    <row r="23" spans="1:17" x14ac:dyDescent="0.3">
      <c r="A23" s="62">
        <v>9</v>
      </c>
      <c r="B23" s="12"/>
      <c r="C23" s="63" t="e">
        <f>LOOKUP(B23,Table2[Name],Table2[Company])</f>
        <v>#N/A</v>
      </c>
      <c r="D23" s="12" t="e">
        <f>LOOKUP(B23,Table2[Name],Table2[Phone])</f>
        <v>#N/A</v>
      </c>
      <c r="E23" s="63"/>
      <c r="F23" s="12"/>
      <c r="G23" s="12"/>
      <c r="I23" s="30"/>
      <c r="J23" s="56"/>
      <c r="K23" s="15"/>
      <c r="L23" s="52"/>
      <c r="M23" s="51"/>
      <c r="N23" s="51"/>
      <c r="O23" s="51"/>
      <c r="P23" s="15"/>
      <c r="Q23" s="15"/>
    </row>
    <row r="24" spans="1:17" ht="13.5" customHeight="1" x14ac:dyDescent="0.3">
      <c r="A24" s="62"/>
      <c r="B24" s="29"/>
      <c r="C24" s="29"/>
      <c r="D24" s="29"/>
      <c r="E24" s="29"/>
      <c r="F24" s="29"/>
      <c r="G24" s="29"/>
      <c r="H24" s="25"/>
      <c r="I24" s="29"/>
      <c r="J24" s="57"/>
      <c r="K24" s="54"/>
      <c r="L24" s="53"/>
      <c r="M24" s="53"/>
      <c r="N24" s="53"/>
      <c r="O24" s="53"/>
      <c r="P24" s="54"/>
      <c r="Q24" s="54"/>
    </row>
    <row r="25" spans="1:17" x14ac:dyDescent="0.3">
      <c r="A25" s="62">
        <v>10</v>
      </c>
      <c r="B25" s="12"/>
      <c r="C25" s="63" t="e">
        <f>LOOKUP(B25,Table2[Name],Table2[Company])</f>
        <v>#N/A</v>
      </c>
      <c r="D25" s="12" t="e">
        <f>LOOKUP(B25,Table2[Name],Table2[Phone])</f>
        <v>#N/A</v>
      </c>
      <c r="E25" s="63"/>
      <c r="F25" s="12"/>
      <c r="G25" s="12"/>
      <c r="I25" s="30"/>
      <c r="J25" s="56"/>
      <c r="K25" s="15"/>
      <c r="L25" s="52"/>
      <c r="M25" s="51"/>
      <c r="N25" s="51"/>
      <c r="O25" s="51"/>
      <c r="P25" s="15"/>
      <c r="Q25" s="15"/>
    </row>
    <row r="26" spans="1:17" ht="13.5" customHeight="1" x14ac:dyDescent="0.3">
      <c r="A26" s="62"/>
      <c r="B26" s="29"/>
      <c r="C26" s="29"/>
      <c r="D26" s="29"/>
      <c r="E26" s="29"/>
      <c r="F26" s="29"/>
      <c r="G26" s="29"/>
      <c r="H26" s="25"/>
      <c r="I26" s="29"/>
      <c r="J26" s="57"/>
      <c r="K26" s="54"/>
      <c r="L26" s="53"/>
      <c r="M26" s="53"/>
      <c r="N26" s="53"/>
      <c r="O26" s="53"/>
      <c r="P26" s="54"/>
      <c r="Q26" s="54"/>
    </row>
    <row r="27" spans="1:17" x14ac:dyDescent="0.3">
      <c r="A27" s="62">
        <v>11</v>
      </c>
      <c r="B27" s="12"/>
      <c r="C27" s="63" t="e">
        <f>LOOKUP(B27,Table2[Name],Table2[Company])</f>
        <v>#N/A</v>
      </c>
      <c r="D27" s="12" t="e">
        <f>LOOKUP(B27,Table2[Name],Table2[Phone])</f>
        <v>#N/A</v>
      </c>
      <c r="E27" s="63"/>
      <c r="F27" s="12"/>
      <c r="G27" s="12"/>
      <c r="I27" s="30"/>
      <c r="J27" s="56"/>
      <c r="K27" s="15"/>
      <c r="L27" s="52"/>
      <c r="M27" s="51"/>
      <c r="N27" s="51"/>
      <c r="O27" s="51"/>
      <c r="P27" s="15"/>
      <c r="Q27" s="15"/>
    </row>
    <row r="28" spans="1:17" x14ac:dyDescent="0.3">
      <c r="A28" s="62"/>
      <c r="B28" s="29"/>
      <c r="C28" s="29"/>
      <c r="D28" s="29"/>
      <c r="E28" s="29"/>
      <c r="F28" s="29"/>
      <c r="G28" s="29"/>
      <c r="H28" s="25"/>
      <c r="I28" s="29"/>
      <c r="J28" s="57"/>
      <c r="K28" s="54"/>
      <c r="L28" s="53"/>
      <c r="M28" s="53"/>
      <c r="N28" s="53"/>
      <c r="O28" s="53"/>
      <c r="P28" s="54"/>
      <c r="Q28" s="54"/>
    </row>
    <row r="29" spans="1:17" x14ac:dyDescent="0.3">
      <c r="A29" s="62">
        <v>12</v>
      </c>
      <c r="B29" s="12"/>
      <c r="C29" s="63" t="e">
        <f>LOOKUP(B29,Table2[Name],Table2[Company])</f>
        <v>#N/A</v>
      </c>
      <c r="D29" s="12" t="e">
        <f>LOOKUP(B29,Table2[Name],Table2[Phone])</f>
        <v>#N/A</v>
      </c>
      <c r="E29" s="63"/>
      <c r="F29" s="12"/>
      <c r="G29" s="12"/>
      <c r="I29" s="30"/>
      <c r="J29" s="56"/>
      <c r="K29" s="15"/>
      <c r="L29" s="52"/>
      <c r="M29" s="51"/>
      <c r="N29" s="51"/>
      <c r="O29" s="51"/>
      <c r="P29" s="15"/>
      <c r="Q29" s="15"/>
    </row>
    <row r="30" spans="1:17" x14ac:dyDescent="0.3">
      <c r="A30" s="62"/>
      <c r="B30" s="29"/>
      <c r="C30" s="29"/>
      <c r="D30" s="29"/>
      <c r="E30" s="29"/>
      <c r="F30" s="29"/>
      <c r="G30" s="29"/>
      <c r="H30" s="25"/>
      <c r="I30" s="29"/>
      <c r="J30" s="57"/>
      <c r="K30" s="54"/>
      <c r="L30" s="53"/>
      <c r="M30" s="53"/>
      <c r="N30" s="53"/>
      <c r="O30" s="53"/>
      <c r="P30" s="54"/>
      <c r="Q30" s="54"/>
    </row>
    <row r="31" spans="1:17" x14ac:dyDescent="0.3">
      <c r="A31" s="62">
        <v>13</v>
      </c>
      <c r="B31" s="12"/>
      <c r="C31" s="63" t="e">
        <f>LOOKUP(B31,Table2[Name],Table2[Company])</f>
        <v>#N/A</v>
      </c>
      <c r="D31" s="12" t="e">
        <f>LOOKUP(B31,Table2[Name],Table2[Phone])</f>
        <v>#N/A</v>
      </c>
      <c r="E31" s="63"/>
      <c r="F31" s="12"/>
      <c r="G31" s="12"/>
      <c r="I31" s="30"/>
      <c r="J31" s="56"/>
      <c r="K31" s="15"/>
      <c r="L31" s="52"/>
      <c r="M31" s="51"/>
      <c r="N31" s="51"/>
      <c r="O31" s="51"/>
      <c r="P31" s="15"/>
      <c r="Q31" s="15"/>
    </row>
    <row r="32" spans="1:17" x14ac:dyDescent="0.3">
      <c r="A32" s="62"/>
      <c r="B32" s="29"/>
      <c r="C32" s="29"/>
      <c r="D32" s="29"/>
      <c r="E32" s="29"/>
      <c r="F32" s="29"/>
      <c r="G32" s="29"/>
      <c r="H32" s="25"/>
      <c r="I32" s="29"/>
      <c r="J32" s="57"/>
      <c r="K32" s="54"/>
      <c r="L32" s="53"/>
      <c r="M32" s="53"/>
      <c r="N32" s="53"/>
      <c r="O32" s="53"/>
      <c r="P32" s="54"/>
      <c r="Q32" s="54"/>
    </row>
    <row r="33" spans="1:17" x14ac:dyDescent="0.3">
      <c r="A33" s="62">
        <v>14</v>
      </c>
      <c r="B33" s="12"/>
      <c r="C33" s="63" t="e">
        <f>LOOKUP(B33,Table2[Name],Table2[Company])</f>
        <v>#N/A</v>
      </c>
      <c r="D33" s="12" t="e">
        <f>LOOKUP(B33,Table2[Name],Table2[Phone])</f>
        <v>#N/A</v>
      </c>
      <c r="E33" s="63"/>
      <c r="F33" s="12"/>
      <c r="G33" s="12"/>
      <c r="I33" s="30"/>
      <c r="J33" s="56"/>
      <c r="K33" s="15"/>
      <c r="L33" s="52"/>
      <c r="M33" s="51"/>
      <c r="N33" s="51"/>
      <c r="O33" s="51"/>
      <c r="P33" s="15"/>
      <c r="Q33" s="15"/>
    </row>
    <row r="34" spans="1:17" x14ac:dyDescent="0.3">
      <c r="A34" s="62"/>
      <c r="B34" s="29"/>
      <c r="C34" s="29"/>
      <c r="D34" s="29"/>
      <c r="E34" s="29"/>
      <c r="F34" s="29"/>
      <c r="G34" s="29"/>
      <c r="H34" s="25"/>
      <c r="I34" s="29"/>
      <c r="J34" s="57"/>
      <c r="K34" s="54"/>
      <c r="L34" s="53"/>
      <c r="M34" s="53"/>
      <c r="N34" s="53"/>
      <c r="O34" s="53"/>
      <c r="P34" s="54"/>
      <c r="Q34" s="54"/>
    </row>
  </sheetData>
  <mergeCells count="2">
    <mergeCell ref="G1:M4"/>
    <mergeCell ref="G5:M5"/>
  </mergeCells>
  <dataValidations count="3">
    <dataValidation type="list" allowBlank="1" showInputMessage="1" showErrorMessage="1" sqref="E15 E19 E17 E13 E7 E11 E27 E25 E23 E21 E9 E29 E31 E33" xr:uid="{CF7DA8C7-D932-480C-8FBC-4AAC298919C0}">
      <formula1>INDIRECT(C7)</formula1>
    </dataValidation>
    <dataValidation type="list" allowBlank="1" showInputMessage="1" showErrorMessage="1" sqref="M21:N21 M23:N23 M25:N25 M7:N7 M9:N9 M11:N11 M13:N13 M15:N15 M17:N17 M19:N19 M27:N27 M29:N29 M31:N31 M33:N33" xr:uid="{925FB51F-07EF-4E40-8D7C-BC134865F271}">
      <formula1>"Yes,No"</formula1>
    </dataValidation>
    <dataValidation type="list" allowBlank="1" showInputMessage="1" showErrorMessage="1" sqref="O7 O9 O11 O13 O15 O17 O19 O21 O23 O25 O27 O29 O31 O33" xr:uid="{DD222FC5-7FEE-47CA-A96B-53DE10A8B33D}">
      <formula1>"Battery,Breaker,Comm,Site,PV,Other"</formula1>
    </dataValidation>
  </dataValidations>
  <pageMargins left="0.25" right="0.25" top="0.75" bottom="0.75" header="0.3" footer="0.3"/>
  <pageSetup paperSize="145" scale="6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7</xdr:col>
                    <xdr:colOff>220980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22860</xdr:rowOff>
                  </from>
                  <to>
                    <xdr:col>7</xdr:col>
                    <xdr:colOff>220980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22860</xdr:rowOff>
                  </from>
                  <to>
                    <xdr:col>7</xdr:col>
                    <xdr:colOff>220980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22860</xdr:rowOff>
                  </from>
                  <to>
                    <xdr:col>7</xdr:col>
                    <xdr:colOff>220980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14</xdr:row>
                    <xdr:rowOff>22860</xdr:rowOff>
                  </from>
                  <to>
                    <xdr:col>7</xdr:col>
                    <xdr:colOff>220980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16</xdr:row>
                    <xdr:rowOff>22860</xdr:rowOff>
                  </from>
                  <to>
                    <xdr:col>7</xdr:col>
                    <xdr:colOff>220980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18</xdr:row>
                    <xdr:rowOff>22860</xdr:rowOff>
                  </from>
                  <to>
                    <xdr:col>7</xdr:col>
                    <xdr:colOff>220980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7</xdr:col>
                    <xdr:colOff>220980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22</xdr:row>
                    <xdr:rowOff>22860</xdr:rowOff>
                  </from>
                  <to>
                    <xdr:col>7</xdr:col>
                    <xdr:colOff>220980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3" name="Check Box 41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6</xdr:row>
                    <xdr:rowOff>30480</xdr:rowOff>
                  </from>
                  <to>
                    <xdr:col>10</xdr:col>
                    <xdr:colOff>213360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14" name="Check Box 42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8</xdr:row>
                    <xdr:rowOff>22860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5" name="Check Box 43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10</xdr:row>
                    <xdr:rowOff>30480</xdr:rowOff>
                  </from>
                  <to>
                    <xdr:col>10</xdr:col>
                    <xdr:colOff>213360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6" name="Check Box 44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12</xdr:row>
                    <xdr:rowOff>30480</xdr:rowOff>
                  </from>
                  <to>
                    <xdr:col>10</xdr:col>
                    <xdr:colOff>213360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7" name="Check Box 45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14</xdr:row>
                    <xdr:rowOff>30480</xdr:rowOff>
                  </from>
                  <to>
                    <xdr:col>10</xdr:col>
                    <xdr:colOff>213360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8" name="Check Box 46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16</xdr:row>
                    <xdr:rowOff>30480</xdr:rowOff>
                  </from>
                  <to>
                    <xdr:col>10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9" name="Check Box 48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18</xdr:row>
                    <xdr:rowOff>30480</xdr:rowOff>
                  </from>
                  <to>
                    <xdr:col>10</xdr:col>
                    <xdr:colOff>213360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20" name="Check Box 49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20</xdr:row>
                    <xdr:rowOff>30480</xdr:rowOff>
                  </from>
                  <to>
                    <xdr:col>10</xdr:col>
                    <xdr:colOff>213360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21" name="Check Box 50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22</xdr:row>
                    <xdr:rowOff>22860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2" name="Check Box 81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8</xdr:row>
                    <xdr:rowOff>22860</xdr:rowOff>
                  </from>
                  <to>
                    <xdr:col>7</xdr:col>
                    <xdr:colOff>220980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23" name="Check Box 83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10</xdr:row>
                    <xdr:rowOff>22860</xdr:rowOff>
                  </from>
                  <to>
                    <xdr:col>7</xdr:col>
                    <xdr:colOff>220980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24" name="Check Box 85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12</xdr:row>
                    <xdr:rowOff>22860</xdr:rowOff>
                  </from>
                  <to>
                    <xdr:col>7</xdr:col>
                    <xdr:colOff>220980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5" name="Check Box 104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7</xdr:col>
                    <xdr:colOff>220980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26" name="Check Box 125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24</xdr:row>
                    <xdr:rowOff>22860</xdr:rowOff>
                  </from>
                  <to>
                    <xdr:col>7</xdr:col>
                    <xdr:colOff>220980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27" name="Check Box 126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24</xdr:row>
                    <xdr:rowOff>30480</xdr:rowOff>
                  </from>
                  <to>
                    <xdr:col>10</xdr:col>
                    <xdr:colOff>213360</xdr:colOff>
                    <xdr:row>24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28" name="Check Box 138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7</xdr:col>
                    <xdr:colOff>220980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29" name="Check Box 139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26</xdr:row>
                    <xdr:rowOff>30480</xdr:rowOff>
                  </from>
                  <to>
                    <xdr:col>10</xdr:col>
                    <xdr:colOff>213360</xdr:colOff>
                    <xdr:row>26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30" name="Check Box 158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28</xdr:row>
                    <xdr:rowOff>22860</xdr:rowOff>
                  </from>
                  <to>
                    <xdr:col>7</xdr:col>
                    <xdr:colOff>213360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31" name="Check Box 159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28</xdr:row>
                    <xdr:rowOff>30480</xdr:rowOff>
                  </from>
                  <to>
                    <xdr:col>10</xdr:col>
                    <xdr:colOff>213360</xdr:colOff>
                    <xdr:row>28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32" name="Check Box 174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30</xdr:row>
                    <xdr:rowOff>22860</xdr:rowOff>
                  </from>
                  <to>
                    <xdr:col>7</xdr:col>
                    <xdr:colOff>220980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33" name="Check Box 175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30</xdr:row>
                    <xdr:rowOff>30480</xdr:rowOff>
                  </from>
                  <to>
                    <xdr:col>11</xdr:col>
                    <xdr:colOff>0</xdr:colOff>
                    <xdr:row>30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34" name="Check Box 190">
              <controlPr defaultSize="0" autoFill="0" autoLine="0" autoPict="0" macro="[0]!ThisWorkbook.CheckBox_Date_Stamp">
                <anchor moveWithCells="1">
                  <from>
                    <xdr:col>7</xdr:col>
                    <xdr:colOff>22860</xdr:colOff>
                    <xdr:row>32</xdr:row>
                    <xdr:rowOff>22860</xdr:rowOff>
                  </from>
                  <to>
                    <xdr:col>7</xdr:col>
                    <xdr:colOff>213360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35" name="Check Box 191">
              <controlPr defaultSize="0" autoFill="0" autoLine="0" autoPict="0" macro="[0]!ThisWorkbook.CheckBox_Date_Stamp">
                <anchor moveWithCells="1">
                  <from>
                    <xdr:col>10</xdr:col>
                    <xdr:colOff>22860</xdr:colOff>
                    <xdr:row>32</xdr:row>
                    <xdr:rowOff>30480</xdr:rowOff>
                  </from>
                  <to>
                    <xdr:col>10</xdr:col>
                    <xdr:colOff>213360</xdr:colOff>
                    <xdr:row>32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36" name="Check Box 206">
              <controlPr defaultSize="0" autoFill="0" autoLine="0" autoPict="0">
                <anchor moveWithCells="1">
                  <from>
                    <xdr:col>16</xdr:col>
                    <xdr:colOff>152400</xdr:colOff>
                    <xdr:row>6</xdr:row>
                    <xdr:rowOff>0</xdr:rowOff>
                  </from>
                  <to>
                    <xdr:col>17</xdr:col>
                    <xdr:colOff>38100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37" name="Check Box 207">
              <controlPr defaultSize="0" autoFill="0" autoLine="0" autoPict="0">
                <anchor moveWithCells="1">
                  <from>
                    <xdr:col>16</xdr:col>
                    <xdr:colOff>152400</xdr:colOff>
                    <xdr:row>8</xdr:row>
                    <xdr:rowOff>0</xdr:rowOff>
                  </from>
                  <to>
                    <xdr:col>17</xdr:col>
                    <xdr:colOff>38100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38" name="Check Box 208">
              <controlPr defaultSize="0" autoFill="0" autoLine="0" autoPict="0">
                <anchor moveWithCells="1">
                  <from>
                    <xdr:col>16</xdr:col>
                    <xdr:colOff>152400</xdr:colOff>
                    <xdr:row>10</xdr:row>
                    <xdr:rowOff>0</xdr:rowOff>
                  </from>
                  <to>
                    <xdr:col>17</xdr:col>
                    <xdr:colOff>38100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39" name="Check Box 209">
              <controlPr defaultSize="0" autoFill="0" autoLine="0" autoPict="0">
                <anchor moveWithCells="1">
                  <from>
                    <xdr:col>16</xdr:col>
                    <xdr:colOff>152400</xdr:colOff>
                    <xdr:row>12</xdr:row>
                    <xdr:rowOff>0</xdr:rowOff>
                  </from>
                  <to>
                    <xdr:col>17</xdr:col>
                    <xdr:colOff>38100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40" name="Check Box 210">
              <controlPr defaultSize="0" autoFill="0" autoLine="0" autoPict="0">
                <anchor moveWithCells="1">
                  <from>
                    <xdr:col>16</xdr:col>
                    <xdr:colOff>152400</xdr:colOff>
                    <xdr:row>14</xdr:row>
                    <xdr:rowOff>0</xdr:rowOff>
                  </from>
                  <to>
                    <xdr:col>17</xdr:col>
                    <xdr:colOff>38100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41" name="Check Box 211">
              <controlPr defaultSize="0" autoFill="0" autoLine="0" autoPict="0">
                <anchor moveWithCells="1">
                  <from>
                    <xdr:col>16</xdr:col>
                    <xdr:colOff>152400</xdr:colOff>
                    <xdr:row>16</xdr:row>
                    <xdr:rowOff>0</xdr:rowOff>
                  </from>
                  <to>
                    <xdr:col>17</xdr:col>
                    <xdr:colOff>38100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42" name="Check Box 212">
              <controlPr defaultSize="0" autoFill="0" autoLine="0" autoPict="0">
                <anchor moveWithCells="1">
                  <from>
                    <xdr:col>16</xdr:col>
                    <xdr:colOff>152400</xdr:colOff>
                    <xdr:row>18</xdr:row>
                    <xdr:rowOff>0</xdr:rowOff>
                  </from>
                  <to>
                    <xdr:col>17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43" name="Check Box 213">
              <controlPr defaultSize="0" autoFill="0" autoLine="0" autoPict="0">
                <anchor moveWithCells="1">
                  <from>
                    <xdr:col>16</xdr:col>
                    <xdr:colOff>152400</xdr:colOff>
                    <xdr:row>20</xdr:row>
                    <xdr:rowOff>0</xdr:rowOff>
                  </from>
                  <to>
                    <xdr:col>17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44" name="Check Box 214">
              <controlPr defaultSize="0" autoFill="0" autoLine="0" autoPict="0">
                <anchor moveWithCells="1">
                  <from>
                    <xdr:col>16</xdr:col>
                    <xdr:colOff>152400</xdr:colOff>
                    <xdr:row>22</xdr:row>
                    <xdr:rowOff>0</xdr:rowOff>
                  </from>
                  <to>
                    <xdr:col>17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45" name="Check Box 215">
              <controlPr defaultSize="0" autoFill="0" autoLine="0" autoPict="0">
                <anchor moveWithCells="1">
                  <from>
                    <xdr:col>16</xdr:col>
                    <xdr:colOff>152400</xdr:colOff>
                    <xdr:row>24</xdr:row>
                    <xdr:rowOff>0</xdr:rowOff>
                  </from>
                  <to>
                    <xdr:col>17</xdr:col>
                    <xdr:colOff>38100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46" name="Check Box 216">
              <controlPr defaultSize="0" autoFill="0" autoLine="0" autoPict="0">
                <anchor moveWithCells="1">
                  <from>
                    <xdr:col>16</xdr:col>
                    <xdr:colOff>152400</xdr:colOff>
                    <xdr:row>26</xdr:row>
                    <xdr:rowOff>0</xdr:rowOff>
                  </from>
                  <to>
                    <xdr:col>17</xdr:col>
                    <xdr:colOff>38100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47" name="Check Box 217">
              <controlPr defaultSize="0" autoFill="0" autoLine="0" autoPict="0">
                <anchor moveWithCells="1">
                  <from>
                    <xdr:col>16</xdr:col>
                    <xdr:colOff>152400</xdr:colOff>
                    <xdr:row>28</xdr:row>
                    <xdr:rowOff>0</xdr:rowOff>
                  </from>
                  <to>
                    <xdr:col>17</xdr:col>
                    <xdr:colOff>38100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48" name="Check Box 218">
              <controlPr defaultSize="0" autoFill="0" autoLine="0" autoPict="0">
                <anchor moveWithCells="1">
                  <from>
                    <xdr:col>16</xdr:col>
                    <xdr:colOff>152400</xdr:colOff>
                    <xdr:row>30</xdr:row>
                    <xdr:rowOff>0</xdr:rowOff>
                  </from>
                  <to>
                    <xdr:col>17</xdr:col>
                    <xdr:colOff>38100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49" name="Check Box 219">
              <controlPr defaultSize="0" autoFill="0" autoLine="0" autoPict="0">
                <anchor moveWithCells="1">
                  <from>
                    <xdr:col>16</xdr:col>
                    <xdr:colOff>152400</xdr:colOff>
                    <xdr:row>32</xdr:row>
                    <xdr:rowOff>0</xdr:rowOff>
                  </from>
                  <to>
                    <xdr:col>17</xdr:col>
                    <xdr:colOff>38100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50" name="Button 221">
              <controlPr defaultSize="0" print="0" autoFill="0" autoPict="0" macro="[0]!Button221_Click">
                <anchor moveWithCells="1" sizeWithCells="1">
                  <from>
                    <xdr:col>17</xdr:col>
                    <xdr:colOff>601980</xdr:colOff>
                    <xdr:row>4</xdr:row>
                    <xdr:rowOff>175260</xdr:rowOff>
                  </from>
                  <to>
                    <xdr:col>20</xdr:col>
                    <xdr:colOff>266700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2DC78A-FFC8-4113-89D8-2603D6968AD6}">
          <x14:formula1>
            <xm:f>Lists!$F$2:$F$13</xm:f>
          </x14:formula1>
          <xm:sqref>F19 F15 F17 F31 F23 F7 F9 F11 F13 F21 F25 F27 F29 F33</xm:sqref>
        </x14:dataValidation>
        <x14:dataValidation type="list" allowBlank="1" showInputMessage="1" showErrorMessage="1" xr:uid="{3CFCAB6F-9F78-4AC2-A0EE-8A87FC9B68AB}">
          <x14:formula1>
            <xm:f>Lists!$H$2:$H$20</xm:f>
          </x14:formula1>
          <xm:sqref>G21 G17 G19 G7 G9 G11 G13 G15 G23 G25 G27 G29 G31 G33</xm:sqref>
        </x14:dataValidation>
        <x14:dataValidation type="list" allowBlank="1" showInputMessage="1" showErrorMessage="1" xr:uid="{46582A88-0A02-48ED-9F25-D4D939D1E1B2}">
          <x14:formula1>
            <xm:f>Lists!$A$2:$A$250</xm:f>
          </x14:formula1>
          <xm:sqref>B7 B9 B11 B13 B15 B17 B19 B21 B23 B25 B27 B29 B31 B33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02FC-3894-4693-9C50-0CD2DB1666A4}">
  <sheetPr codeName="Sheet4"/>
  <dimension ref="A1:I40"/>
  <sheetViews>
    <sheetView workbookViewId="0">
      <selection activeCell="E2" sqref="E2:E7"/>
    </sheetView>
  </sheetViews>
  <sheetFormatPr defaultRowHeight="14.4" x14ac:dyDescent="0.3"/>
  <cols>
    <col min="1" max="1" width="10.5546875" customWidth="1"/>
    <col min="2" max="2" width="3.44140625" customWidth="1"/>
    <col min="3" max="3" width="27.5546875" customWidth="1"/>
    <col min="4" max="4" width="3.44140625" customWidth="1"/>
    <col min="5" max="5" width="27.5546875" customWidth="1"/>
    <col min="6" max="6" width="3.6640625" customWidth="1"/>
    <col min="7" max="7" width="27.5546875" customWidth="1"/>
    <col min="8" max="8" width="12.33203125" customWidth="1"/>
    <col min="9" max="9" width="11.6640625" customWidth="1"/>
    <col min="10" max="10" width="13.5546875" customWidth="1"/>
    <col min="11" max="11" width="14.33203125" customWidth="1"/>
    <col min="12" max="12" width="13.5546875" customWidth="1"/>
    <col min="13" max="13" width="14.44140625" customWidth="1"/>
  </cols>
  <sheetData>
    <row r="1" spans="1:9" x14ac:dyDescent="0.3">
      <c r="C1" s="31">
        <v>1</v>
      </c>
      <c r="E1" s="31">
        <v>2</v>
      </c>
      <c r="G1" s="31">
        <v>3</v>
      </c>
    </row>
    <row r="2" spans="1:9" x14ac:dyDescent="0.3">
      <c r="A2" s="10" t="s">
        <v>1</v>
      </c>
      <c r="B2" s="10"/>
      <c r="C2" s="58">
        <f>Entry!B7</f>
        <v>0</v>
      </c>
      <c r="E2" s="58">
        <f>Entry!B9</f>
        <v>0</v>
      </c>
      <c r="G2" s="58">
        <f>Entry!B11</f>
        <v>0</v>
      </c>
    </row>
    <row r="3" spans="1:9" x14ac:dyDescent="0.3">
      <c r="A3" s="10" t="s">
        <v>0</v>
      </c>
      <c r="B3" s="10"/>
      <c r="C3" s="59" t="e">
        <f>Entry!C7</f>
        <v>#N/A</v>
      </c>
      <c r="E3" s="59" t="e">
        <f>Entry!C9</f>
        <v>#N/A</v>
      </c>
      <c r="G3" s="59" t="e">
        <f>Entry!C11</f>
        <v>#N/A</v>
      </c>
      <c r="I3" t="s">
        <v>520</v>
      </c>
    </row>
    <row r="4" spans="1:9" x14ac:dyDescent="0.3">
      <c r="A4" s="10" t="s">
        <v>103</v>
      </c>
      <c r="B4" s="10"/>
      <c r="C4" s="59" t="e">
        <f>Entry!D7</f>
        <v>#N/A</v>
      </c>
      <c r="E4" s="59" t="e">
        <f>Entry!D9</f>
        <v>#N/A</v>
      </c>
      <c r="G4" s="59" t="e">
        <f>Entry!D11</f>
        <v>#N/A</v>
      </c>
    </row>
    <row r="5" spans="1:9" x14ac:dyDescent="0.3">
      <c r="A5" s="10" t="s">
        <v>2</v>
      </c>
      <c r="B5" s="10"/>
      <c r="C5" s="59">
        <f>Entry!E7</f>
        <v>0</v>
      </c>
      <c r="E5" s="59">
        <f>Entry!E9</f>
        <v>0</v>
      </c>
      <c r="G5" s="59">
        <f>Entry!E11</f>
        <v>0</v>
      </c>
    </row>
    <row r="6" spans="1:9" x14ac:dyDescent="0.3">
      <c r="A6" s="10" t="s">
        <v>502</v>
      </c>
      <c r="B6" s="10"/>
      <c r="C6" s="59">
        <f>Entry!F7</f>
        <v>0</v>
      </c>
      <c r="E6" s="59">
        <f>Entry!F9</f>
        <v>0</v>
      </c>
      <c r="G6" s="59">
        <f>Entry!F11</f>
        <v>0</v>
      </c>
    </row>
    <row r="7" spans="1:9" x14ac:dyDescent="0.3">
      <c r="A7" s="10" t="s">
        <v>3</v>
      </c>
      <c r="B7" s="10"/>
      <c r="C7" s="60">
        <f>Entry!G7</f>
        <v>0</v>
      </c>
      <c r="E7" s="60">
        <f>Entry!G9</f>
        <v>0</v>
      </c>
      <c r="G7" s="60">
        <f>Entry!G11</f>
        <v>0</v>
      </c>
    </row>
    <row r="9" spans="1:9" x14ac:dyDescent="0.3">
      <c r="C9" s="31">
        <v>4</v>
      </c>
      <c r="E9" s="31">
        <v>5</v>
      </c>
      <c r="G9" s="31">
        <v>6</v>
      </c>
    </row>
    <row r="10" spans="1:9" x14ac:dyDescent="0.3">
      <c r="A10" s="10" t="s">
        <v>1</v>
      </c>
      <c r="B10" s="10"/>
      <c r="C10" s="58">
        <f>Entry!B13</f>
        <v>0</v>
      </c>
      <c r="E10" s="58">
        <f>Entry!B15</f>
        <v>0</v>
      </c>
      <c r="G10" s="58">
        <f>Entry!B17</f>
        <v>0</v>
      </c>
    </row>
    <row r="11" spans="1:9" x14ac:dyDescent="0.3">
      <c r="A11" s="10" t="s">
        <v>0</v>
      </c>
      <c r="B11" s="10"/>
      <c r="C11" s="59" t="e">
        <f>Entry!C13</f>
        <v>#N/A</v>
      </c>
      <c r="E11" s="59" t="e">
        <f>Entry!C15</f>
        <v>#N/A</v>
      </c>
      <c r="G11" s="59" t="e">
        <f>Entry!C17</f>
        <v>#N/A</v>
      </c>
    </row>
    <row r="12" spans="1:9" x14ac:dyDescent="0.3">
      <c r="A12" s="10" t="s">
        <v>103</v>
      </c>
      <c r="B12" s="10"/>
      <c r="C12" s="59" t="e">
        <f>Entry!D13</f>
        <v>#N/A</v>
      </c>
      <c r="E12" s="59" t="e">
        <f>Entry!D15</f>
        <v>#N/A</v>
      </c>
      <c r="G12" s="59" t="e">
        <f>Entry!D17</f>
        <v>#N/A</v>
      </c>
    </row>
    <row r="13" spans="1:9" x14ac:dyDescent="0.3">
      <c r="A13" s="10" t="s">
        <v>2</v>
      </c>
      <c r="B13" s="10"/>
      <c r="C13" s="59">
        <f>Entry!E13</f>
        <v>0</v>
      </c>
      <c r="E13" s="59">
        <f>Entry!E15</f>
        <v>0</v>
      </c>
      <c r="G13" s="59">
        <f>Entry!E17</f>
        <v>0</v>
      </c>
    </row>
    <row r="14" spans="1:9" x14ac:dyDescent="0.3">
      <c r="A14" s="10" t="s">
        <v>502</v>
      </c>
      <c r="B14" s="10"/>
      <c r="C14" s="59">
        <f>Entry!F13</f>
        <v>0</v>
      </c>
      <c r="E14" s="59">
        <f>Entry!F15</f>
        <v>0</v>
      </c>
      <c r="G14" s="59">
        <f>Entry!F17</f>
        <v>0</v>
      </c>
    </row>
    <row r="15" spans="1:9" x14ac:dyDescent="0.3">
      <c r="A15" s="10" t="s">
        <v>3</v>
      </c>
      <c r="B15" s="10"/>
      <c r="C15" s="60">
        <f>Entry!G13</f>
        <v>0</v>
      </c>
      <c r="E15" s="60">
        <f>Entry!G15</f>
        <v>0</v>
      </c>
      <c r="G15" s="60">
        <f>Entry!G17</f>
        <v>0</v>
      </c>
    </row>
    <row r="17" spans="1:7" x14ac:dyDescent="0.3">
      <c r="C17" s="31">
        <v>7</v>
      </c>
      <c r="E17" s="31">
        <v>8</v>
      </c>
      <c r="G17" s="31">
        <v>9</v>
      </c>
    </row>
    <row r="18" spans="1:7" x14ac:dyDescent="0.3">
      <c r="A18" s="10" t="s">
        <v>1</v>
      </c>
      <c r="B18" s="10"/>
      <c r="C18" s="58">
        <f>Entry!B19</f>
        <v>0</v>
      </c>
      <c r="E18" s="58">
        <f>Entry!B21</f>
        <v>0</v>
      </c>
      <c r="G18" s="58">
        <f>Entry!B23</f>
        <v>0</v>
      </c>
    </row>
    <row r="19" spans="1:7" x14ac:dyDescent="0.3">
      <c r="A19" s="10" t="s">
        <v>0</v>
      </c>
      <c r="B19" s="10"/>
      <c r="C19" s="59" t="e">
        <f>Entry!C19</f>
        <v>#N/A</v>
      </c>
      <c r="E19" s="59" t="e">
        <f>Entry!C21</f>
        <v>#N/A</v>
      </c>
      <c r="G19" s="59" t="e">
        <f>Entry!C23</f>
        <v>#N/A</v>
      </c>
    </row>
    <row r="20" spans="1:7" x14ac:dyDescent="0.3">
      <c r="A20" s="10" t="s">
        <v>103</v>
      </c>
      <c r="B20" s="10"/>
      <c r="C20" s="59" t="e">
        <f>Entry!D19</f>
        <v>#N/A</v>
      </c>
      <c r="E20" s="59" t="e">
        <f>Entry!D21</f>
        <v>#N/A</v>
      </c>
      <c r="G20" s="59" t="e">
        <f>Entry!D23</f>
        <v>#N/A</v>
      </c>
    </row>
    <row r="21" spans="1:7" x14ac:dyDescent="0.3">
      <c r="A21" s="10" t="s">
        <v>2</v>
      </c>
      <c r="B21" s="10"/>
      <c r="C21" s="59">
        <f>Entry!E19</f>
        <v>0</v>
      </c>
      <c r="E21" s="59">
        <f>Entry!E21</f>
        <v>0</v>
      </c>
      <c r="G21" s="59">
        <f>Entry!E23</f>
        <v>0</v>
      </c>
    </row>
    <row r="22" spans="1:7" x14ac:dyDescent="0.3">
      <c r="A22" s="10" t="s">
        <v>502</v>
      </c>
      <c r="B22" s="10"/>
      <c r="C22" s="59">
        <f>Entry!F19</f>
        <v>0</v>
      </c>
      <c r="E22" s="59">
        <f>Entry!F21</f>
        <v>0</v>
      </c>
      <c r="G22" s="59">
        <f>Entry!F23</f>
        <v>0</v>
      </c>
    </row>
    <row r="23" spans="1:7" x14ac:dyDescent="0.3">
      <c r="A23" s="10" t="s">
        <v>3</v>
      </c>
      <c r="B23" s="10"/>
      <c r="C23" s="60">
        <f>Entry!G19</f>
        <v>0</v>
      </c>
      <c r="E23" s="60">
        <f>Entry!G21</f>
        <v>0</v>
      </c>
      <c r="G23" s="60">
        <f>Entry!G23</f>
        <v>0</v>
      </c>
    </row>
    <row r="25" spans="1:7" x14ac:dyDescent="0.3">
      <c r="C25" s="31">
        <v>10</v>
      </c>
      <c r="E25" s="31">
        <v>11</v>
      </c>
      <c r="G25" s="31">
        <v>12</v>
      </c>
    </row>
    <row r="26" spans="1:7" x14ac:dyDescent="0.3">
      <c r="A26" s="10" t="s">
        <v>1</v>
      </c>
      <c r="B26" s="10"/>
      <c r="C26" s="58">
        <f>Entry!B25</f>
        <v>0</v>
      </c>
      <c r="E26" s="58">
        <f>Entry!B27</f>
        <v>0</v>
      </c>
      <c r="G26" s="58">
        <f>Entry!B29</f>
        <v>0</v>
      </c>
    </row>
    <row r="27" spans="1:7" x14ac:dyDescent="0.3">
      <c r="A27" s="10" t="s">
        <v>0</v>
      </c>
      <c r="B27" s="10"/>
      <c r="C27" s="59" t="e">
        <f>Entry!C25</f>
        <v>#N/A</v>
      </c>
      <c r="E27" s="59" t="e">
        <f>Entry!C27</f>
        <v>#N/A</v>
      </c>
      <c r="G27" s="59" t="e">
        <f>Entry!C29</f>
        <v>#N/A</v>
      </c>
    </row>
    <row r="28" spans="1:7" x14ac:dyDescent="0.3">
      <c r="A28" s="10" t="s">
        <v>103</v>
      </c>
      <c r="B28" s="10"/>
      <c r="C28" s="59" t="e">
        <f>Entry!D25</f>
        <v>#N/A</v>
      </c>
      <c r="E28" s="59" t="e">
        <f>Entry!D27</f>
        <v>#N/A</v>
      </c>
      <c r="G28" s="59" t="e">
        <f>Entry!D29</f>
        <v>#N/A</v>
      </c>
    </row>
    <row r="29" spans="1:7" x14ac:dyDescent="0.3">
      <c r="A29" s="10" t="s">
        <v>2</v>
      </c>
      <c r="B29" s="10"/>
      <c r="C29" s="59">
        <f>Entry!E25</f>
        <v>0</v>
      </c>
      <c r="E29" s="59">
        <f>Entry!E27</f>
        <v>0</v>
      </c>
      <c r="G29" s="59">
        <f>Entry!E29</f>
        <v>0</v>
      </c>
    </row>
    <row r="30" spans="1:7" x14ac:dyDescent="0.3">
      <c r="A30" s="10" t="s">
        <v>502</v>
      </c>
      <c r="B30" s="10"/>
      <c r="C30" s="59">
        <f>Entry!F25</f>
        <v>0</v>
      </c>
      <c r="E30" s="59">
        <f>Entry!F27</f>
        <v>0</v>
      </c>
      <c r="G30" s="59">
        <f>Entry!F29</f>
        <v>0</v>
      </c>
    </row>
    <row r="31" spans="1:7" x14ac:dyDescent="0.3">
      <c r="A31" s="10" t="s">
        <v>3</v>
      </c>
      <c r="B31" s="10"/>
      <c r="C31" s="60">
        <f>Entry!G25</f>
        <v>0</v>
      </c>
      <c r="E31" s="60">
        <f>Entry!G27</f>
        <v>0</v>
      </c>
      <c r="G31" s="60">
        <f>Entry!G29</f>
        <v>0</v>
      </c>
    </row>
    <row r="34" spans="1:5" x14ac:dyDescent="0.3">
      <c r="C34" s="31">
        <v>13</v>
      </c>
      <c r="E34" s="31">
        <v>14</v>
      </c>
    </row>
    <row r="35" spans="1:5" x14ac:dyDescent="0.3">
      <c r="A35" s="10" t="s">
        <v>1</v>
      </c>
      <c r="C35" s="58">
        <f>Entry!B31</f>
        <v>0</v>
      </c>
      <c r="E35" s="58">
        <f>Entry!B33</f>
        <v>0</v>
      </c>
    </row>
    <row r="36" spans="1:5" x14ac:dyDescent="0.3">
      <c r="A36" s="10" t="s">
        <v>0</v>
      </c>
      <c r="C36" s="59" t="e">
        <f>Entry!C31</f>
        <v>#N/A</v>
      </c>
      <c r="E36" s="59" t="e">
        <f>Entry!C33</f>
        <v>#N/A</v>
      </c>
    </row>
    <row r="37" spans="1:5" x14ac:dyDescent="0.3">
      <c r="A37" s="10" t="s">
        <v>103</v>
      </c>
      <c r="C37" s="59" t="e">
        <f>Entry!D31</f>
        <v>#N/A</v>
      </c>
      <c r="E37" s="59" t="e">
        <f>Entry!D33</f>
        <v>#N/A</v>
      </c>
    </row>
    <row r="38" spans="1:5" x14ac:dyDescent="0.3">
      <c r="A38" s="10" t="s">
        <v>2</v>
      </c>
      <c r="C38" s="59">
        <f>Entry!E31</f>
        <v>0</v>
      </c>
      <c r="E38" s="59">
        <f>Entry!E33</f>
        <v>0</v>
      </c>
    </row>
    <row r="39" spans="1:5" x14ac:dyDescent="0.3">
      <c r="A39" s="10" t="s">
        <v>502</v>
      </c>
      <c r="C39" s="59">
        <f>Entry!F31</f>
        <v>0</v>
      </c>
      <c r="E39" s="59">
        <f>Entry!F33</f>
        <v>0</v>
      </c>
    </row>
    <row r="40" spans="1:5" x14ac:dyDescent="0.3">
      <c r="A40" s="10" t="s">
        <v>3</v>
      </c>
      <c r="C40" s="60">
        <f>Entry!G31</f>
        <v>0</v>
      </c>
      <c r="E40" s="60">
        <f>Entry!G33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00E8-5C45-40FF-9F05-4C079EFACB5B}">
  <sheetPr codeName="Sheet2"/>
  <dimension ref="A1:BH202"/>
  <sheetViews>
    <sheetView zoomScale="85" zoomScaleNormal="85" workbookViewId="0">
      <selection activeCell="E26" sqref="E26"/>
    </sheetView>
  </sheetViews>
  <sheetFormatPr defaultRowHeight="14.4" x14ac:dyDescent="0.3"/>
  <cols>
    <col min="1" max="1" width="24.5546875" style="34" customWidth="1"/>
    <col min="2" max="2" width="28.5546875" style="34" customWidth="1"/>
    <col min="3" max="3" width="17.44140625" style="34" customWidth="1"/>
    <col min="9" max="9" width="14.5546875" customWidth="1"/>
    <col min="10" max="10" width="26.44140625" bestFit="1" customWidth="1"/>
    <col min="11" max="11" width="4.44140625" customWidth="1"/>
    <col min="12" max="12" width="10.6640625" customWidth="1"/>
    <col min="13" max="13" width="4.33203125" customWidth="1"/>
    <col min="17" max="17" width="24.33203125" customWidth="1"/>
    <col min="18" max="18" width="8.33203125" customWidth="1"/>
    <col min="19" max="19" width="9" customWidth="1"/>
    <col min="20" max="21" width="10" customWidth="1"/>
    <col min="22" max="22" width="8.44140625" customWidth="1"/>
    <col min="23" max="23" width="10.44140625" customWidth="1"/>
    <col min="24" max="24" width="9.5546875" customWidth="1"/>
    <col min="25" max="25" width="10" customWidth="1"/>
    <col min="26" max="26" width="15.44140625" customWidth="1"/>
    <col min="27" max="27" width="8.44140625" customWidth="1"/>
    <col min="28" max="28" width="10.6640625" customWidth="1"/>
    <col min="29" max="29" width="6.6640625" customWidth="1"/>
    <col min="30" max="34" width="10.44140625" customWidth="1"/>
    <col min="35" max="35" width="14.6640625" customWidth="1"/>
    <col min="36" max="36" width="10.33203125" customWidth="1"/>
    <col min="37" max="37" width="12.33203125" customWidth="1"/>
    <col min="38" max="38" width="11.5546875" customWidth="1"/>
    <col min="39" max="39" width="8.33203125" customWidth="1"/>
    <col min="40" max="40" width="7.5546875" customWidth="1"/>
    <col min="41" max="41" width="15.5546875" customWidth="1"/>
    <col min="42" max="42" width="10.6640625" customWidth="1"/>
    <col min="43" max="43" width="11.33203125" customWidth="1"/>
    <col min="44" max="44" width="10.33203125" customWidth="1"/>
    <col min="45" max="46" width="8.44140625" customWidth="1"/>
    <col min="47" max="47" width="14.44140625" customWidth="1"/>
    <col min="48" max="48" width="13.6640625" bestFit="1" customWidth="1"/>
    <col min="49" max="49" width="11.33203125" customWidth="1"/>
    <col min="50" max="50" width="14.33203125" customWidth="1"/>
    <col min="51" max="51" width="17" customWidth="1"/>
    <col min="52" max="52" width="11.5546875" customWidth="1"/>
    <col min="55" max="55" width="18.5546875" bestFit="1" customWidth="1"/>
    <col min="56" max="56" width="19.5546875" customWidth="1"/>
    <col min="57" max="57" width="19.6640625" customWidth="1"/>
    <col min="58" max="58" width="29.109375" customWidth="1"/>
    <col min="59" max="59" width="25.6640625" customWidth="1"/>
    <col min="60" max="60" width="16.44140625" customWidth="1"/>
  </cols>
  <sheetData>
    <row r="1" spans="1:60" ht="43.2" x14ac:dyDescent="0.3">
      <c r="A1" s="34" t="s">
        <v>1</v>
      </c>
      <c r="B1" s="34" t="s">
        <v>0</v>
      </c>
      <c r="C1" s="34" t="s">
        <v>103</v>
      </c>
      <c r="F1" s="9" t="s">
        <v>104</v>
      </c>
      <c r="H1" s="11" t="s">
        <v>3</v>
      </c>
      <c r="J1" s="10" t="s">
        <v>112</v>
      </c>
      <c r="L1" s="32" t="s">
        <v>136</v>
      </c>
      <c r="O1" s="32" t="s">
        <v>144</v>
      </c>
      <c r="P1" s="10"/>
      <c r="Q1" s="10" t="s">
        <v>0</v>
      </c>
      <c r="S1" t="s">
        <v>248</v>
      </c>
      <c r="T1" s="12" t="s">
        <v>249</v>
      </c>
      <c r="U1" t="s">
        <v>268</v>
      </c>
      <c r="V1" s="12" t="s">
        <v>391</v>
      </c>
      <c r="W1" t="s">
        <v>251</v>
      </c>
      <c r="X1" t="s">
        <v>252</v>
      </c>
      <c r="Y1" t="s">
        <v>433</v>
      </c>
      <c r="Z1" t="s">
        <v>204</v>
      </c>
      <c r="AA1" t="s">
        <v>461</v>
      </c>
      <c r="AB1" s="12" t="s">
        <v>253</v>
      </c>
      <c r="AC1" t="s">
        <v>447</v>
      </c>
      <c r="AD1" s="13" t="s">
        <v>263</v>
      </c>
      <c r="AE1" t="s">
        <v>265</v>
      </c>
      <c r="AF1" s="47" t="s">
        <v>254</v>
      </c>
      <c r="AG1" s="19" t="s">
        <v>267</v>
      </c>
      <c r="AH1" t="s">
        <v>255</v>
      </c>
      <c r="AI1" t="s">
        <v>256</v>
      </c>
      <c r="AJ1" t="s">
        <v>266</v>
      </c>
      <c r="AK1" t="s">
        <v>257</v>
      </c>
      <c r="AL1" s="12" t="s">
        <v>55</v>
      </c>
      <c r="AM1" s="12" t="s">
        <v>60</v>
      </c>
      <c r="AN1" s="12" t="s">
        <v>215</v>
      </c>
      <c r="AO1" t="s">
        <v>291</v>
      </c>
      <c r="AP1" t="s">
        <v>258</v>
      </c>
      <c r="AQ1" t="s">
        <v>264</v>
      </c>
      <c r="AR1" s="12" t="s">
        <v>259</v>
      </c>
      <c r="AS1" t="s">
        <v>292</v>
      </c>
      <c r="AT1" t="s">
        <v>406</v>
      </c>
      <c r="AU1" t="s">
        <v>293</v>
      </c>
      <c r="AV1" s="33" t="s">
        <v>390</v>
      </c>
      <c r="AW1" t="s">
        <v>260</v>
      </c>
      <c r="AX1" t="s">
        <v>261</v>
      </c>
      <c r="AY1" s="18" t="s">
        <v>262</v>
      </c>
      <c r="AZ1" t="s">
        <v>398</v>
      </c>
      <c r="BA1" t="s">
        <v>438</v>
      </c>
      <c r="BC1" t="s">
        <v>406</v>
      </c>
      <c r="BD1" s="20" t="s">
        <v>454</v>
      </c>
      <c r="BE1" t="s">
        <v>546</v>
      </c>
      <c r="BF1" t="s">
        <v>562</v>
      </c>
      <c r="BG1" t="s">
        <v>569</v>
      </c>
      <c r="BH1" t="s">
        <v>543</v>
      </c>
    </row>
    <row r="2" spans="1:60" x14ac:dyDescent="0.3">
      <c r="A2" s="38" t="s">
        <v>418</v>
      </c>
      <c r="B2" s="38" t="s">
        <v>85</v>
      </c>
      <c r="C2" s="38" t="s">
        <v>419</v>
      </c>
      <c r="F2" s="2" t="s">
        <v>523</v>
      </c>
      <c r="G2" s="1"/>
      <c r="H2" t="s">
        <v>105</v>
      </c>
      <c r="J2" t="s">
        <v>270</v>
      </c>
      <c r="L2" t="s">
        <v>137</v>
      </c>
      <c r="N2" t="s">
        <v>142</v>
      </c>
      <c r="O2" t="s">
        <v>137</v>
      </c>
      <c r="Q2" s="34" t="s">
        <v>248</v>
      </c>
      <c r="S2" t="s">
        <v>270</v>
      </c>
      <c r="T2" t="s">
        <v>270</v>
      </c>
      <c r="U2" t="s">
        <v>270</v>
      </c>
      <c r="V2" t="s">
        <v>270</v>
      </c>
      <c r="W2" t="s">
        <v>119</v>
      </c>
      <c r="X2" t="s">
        <v>270</v>
      </c>
      <c r="Y2" t="s">
        <v>114</v>
      </c>
      <c r="Z2" t="s">
        <v>512</v>
      </c>
      <c r="AA2" t="s">
        <v>270</v>
      </c>
      <c r="AB2" t="s">
        <v>113</v>
      </c>
      <c r="AC2" t="s">
        <v>512</v>
      </c>
      <c r="AD2" t="s">
        <v>512</v>
      </c>
      <c r="AE2" t="s">
        <v>270</v>
      </c>
      <c r="AF2" t="s">
        <v>269</v>
      </c>
      <c r="AG2" t="s">
        <v>270</v>
      </c>
      <c r="AH2" t="s">
        <v>270</v>
      </c>
      <c r="AI2" t="s">
        <v>269</v>
      </c>
      <c r="AJ2" t="s">
        <v>270</v>
      </c>
      <c r="AK2" t="s">
        <v>270</v>
      </c>
      <c r="AL2" t="s">
        <v>177</v>
      </c>
      <c r="AM2" t="s">
        <v>270</v>
      </c>
      <c r="AN2" t="s">
        <v>270</v>
      </c>
      <c r="AO2" t="s">
        <v>113</v>
      </c>
      <c r="AP2" t="s">
        <v>270</v>
      </c>
      <c r="AQ2" t="s">
        <v>512</v>
      </c>
      <c r="AR2" t="s">
        <v>512</v>
      </c>
      <c r="AS2" t="s">
        <v>270</v>
      </c>
      <c r="AT2" t="s">
        <v>286</v>
      </c>
      <c r="AU2" t="s">
        <v>119</v>
      </c>
      <c r="AV2" t="s">
        <v>113</v>
      </c>
      <c r="AW2" t="s">
        <v>270</v>
      </c>
      <c r="AX2" t="s">
        <v>278</v>
      </c>
      <c r="AY2" t="s">
        <v>116</v>
      </c>
      <c r="AZ2" t="s">
        <v>270</v>
      </c>
      <c r="BA2" t="s">
        <v>269</v>
      </c>
      <c r="BC2" t="s">
        <v>270</v>
      </c>
      <c r="BD2" t="s">
        <v>284</v>
      </c>
      <c r="BE2" t="s">
        <v>270</v>
      </c>
      <c r="BF2" t="s">
        <v>270</v>
      </c>
      <c r="BG2" t="s">
        <v>270</v>
      </c>
      <c r="BH2" t="s">
        <v>270</v>
      </c>
    </row>
    <row r="3" spans="1:60" x14ac:dyDescent="0.3">
      <c r="A3" s="38" t="s">
        <v>480</v>
      </c>
      <c r="B3" s="38" t="s">
        <v>253</v>
      </c>
      <c r="C3" s="38" t="s">
        <v>481</v>
      </c>
      <c r="F3" s="2" t="s">
        <v>524</v>
      </c>
      <c r="H3" t="s">
        <v>147</v>
      </c>
      <c r="J3" t="s">
        <v>113</v>
      </c>
      <c r="L3" t="s">
        <v>140</v>
      </c>
      <c r="N3" t="s">
        <v>143</v>
      </c>
      <c r="O3" t="s">
        <v>145</v>
      </c>
      <c r="Q3" s="34" t="s">
        <v>249</v>
      </c>
      <c r="S3" t="s">
        <v>113</v>
      </c>
      <c r="T3" t="s">
        <v>113</v>
      </c>
      <c r="U3" t="s">
        <v>113</v>
      </c>
      <c r="V3" t="s">
        <v>113</v>
      </c>
      <c r="W3" t="s">
        <v>122</v>
      </c>
      <c r="X3" t="s">
        <v>113</v>
      </c>
      <c r="Y3" t="s">
        <v>127</v>
      </c>
      <c r="Z3" t="s">
        <v>514</v>
      </c>
      <c r="AA3" t="s">
        <v>113</v>
      </c>
      <c r="AB3" t="s">
        <v>120</v>
      </c>
      <c r="AC3" t="s">
        <v>514</v>
      </c>
      <c r="AD3" t="s">
        <v>514</v>
      </c>
      <c r="AE3" t="s">
        <v>113</v>
      </c>
      <c r="AF3" t="s">
        <v>271</v>
      </c>
      <c r="AG3" t="s">
        <v>113</v>
      </c>
      <c r="AH3" t="s">
        <v>113</v>
      </c>
      <c r="AI3" t="s">
        <v>287</v>
      </c>
      <c r="AJ3" t="s">
        <v>113</v>
      </c>
      <c r="AK3" t="s">
        <v>113</v>
      </c>
      <c r="AL3" t="s">
        <v>178</v>
      </c>
      <c r="AM3" t="s">
        <v>113</v>
      </c>
      <c r="AN3" t="s">
        <v>113</v>
      </c>
      <c r="AP3" t="s">
        <v>113</v>
      </c>
      <c r="AQ3" t="s">
        <v>514</v>
      </c>
      <c r="AR3" t="s">
        <v>514</v>
      </c>
      <c r="AS3" t="s">
        <v>113</v>
      </c>
      <c r="AT3" t="s">
        <v>227</v>
      </c>
      <c r="AU3" t="s">
        <v>122</v>
      </c>
      <c r="AV3" t="s">
        <v>119</v>
      </c>
      <c r="AW3" t="s">
        <v>113</v>
      </c>
      <c r="AX3" t="s">
        <v>127</v>
      </c>
      <c r="AY3" t="s">
        <v>152</v>
      </c>
      <c r="AZ3" t="s">
        <v>113</v>
      </c>
      <c r="BA3" t="s">
        <v>287</v>
      </c>
      <c r="BC3" t="s">
        <v>113</v>
      </c>
      <c r="BE3" t="s">
        <v>113</v>
      </c>
      <c r="BF3" t="s">
        <v>113</v>
      </c>
      <c r="BG3" t="s">
        <v>113</v>
      </c>
      <c r="BH3" t="s">
        <v>113</v>
      </c>
    </row>
    <row r="4" spans="1:60" x14ac:dyDescent="0.3">
      <c r="A4" s="40" t="s">
        <v>304</v>
      </c>
      <c r="B4" s="41" t="s">
        <v>265</v>
      </c>
      <c r="C4" s="42" t="s">
        <v>305</v>
      </c>
      <c r="F4" s="2" t="s">
        <v>525</v>
      </c>
      <c r="H4" t="s">
        <v>175</v>
      </c>
      <c r="J4" t="s">
        <v>269</v>
      </c>
      <c r="L4" t="s">
        <v>141</v>
      </c>
      <c r="O4" t="s">
        <v>146</v>
      </c>
      <c r="Q4" s="34" t="s">
        <v>268</v>
      </c>
      <c r="S4" t="s">
        <v>269</v>
      </c>
      <c r="T4" t="s">
        <v>269</v>
      </c>
      <c r="U4" t="s">
        <v>269</v>
      </c>
      <c r="V4" t="s">
        <v>269</v>
      </c>
      <c r="W4" t="s">
        <v>123</v>
      </c>
      <c r="X4" t="s">
        <v>269</v>
      </c>
      <c r="Z4" t="s">
        <v>115</v>
      </c>
      <c r="AA4" t="s">
        <v>269</v>
      </c>
      <c r="AB4" t="s">
        <v>131</v>
      </c>
      <c r="AC4" t="s">
        <v>115</v>
      </c>
      <c r="AD4" t="s">
        <v>115</v>
      </c>
      <c r="AE4" t="s">
        <v>269</v>
      </c>
      <c r="AF4" t="s">
        <v>272</v>
      </c>
      <c r="AG4" t="s">
        <v>269</v>
      </c>
      <c r="AH4" t="s">
        <v>269</v>
      </c>
      <c r="AJ4" t="s">
        <v>269</v>
      </c>
      <c r="AK4" t="s">
        <v>269</v>
      </c>
      <c r="AL4" t="s">
        <v>176</v>
      </c>
      <c r="AM4" t="s">
        <v>269</v>
      </c>
      <c r="AN4" t="s">
        <v>269</v>
      </c>
      <c r="AP4" t="s">
        <v>269</v>
      </c>
      <c r="AQ4" t="s">
        <v>115</v>
      </c>
      <c r="AR4" t="s">
        <v>115</v>
      </c>
      <c r="AS4" t="s">
        <v>269</v>
      </c>
      <c r="AU4" t="s">
        <v>123</v>
      </c>
      <c r="AV4" t="s">
        <v>120</v>
      </c>
      <c r="AW4" t="s">
        <v>269</v>
      </c>
      <c r="AX4" t="s">
        <v>131</v>
      </c>
      <c r="AY4" t="s">
        <v>289</v>
      </c>
      <c r="AZ4" t="s">
        <v>269</v>
      </c>
      <c r="BC4" t="s">
        <v>269</v>
      </c>
      <c r="BE4" t="s">
        <v>269</v>
      </c>
      <c r="BF4" t="s">
        <v>269</v>
      </c>
      <c r="BG4" t="s">
        <v>269</v>
      </c>
      <c r="BH4" t="s">
        <v>269</v>
      </c>
    </row>
    <row r="5" spans="1:60" x14ac:dyDescent="0.3">
      <c r="A5" s="34" t="s">
        <v>564</v>
      </c>
      <c r="B5" s="34" t="s">
        <v>259</v>
      </c>
      <c r="C5" s="34" t="s">
        <v>565</v>
      </c>
      <c r="E5" s="8"/>
      <c r="F5" s="2" t="s">
        <v>526</v>
      </c>
      <c r="H5" t="s">
        <v>141</v>
      </c>
      <c r="J5" t="s">
        <v>273</v>
      </c>
      <c r="L5" t="s">
        <v>139</v>
      </c>
      <c r="Q5" s="34" t="s">
        <v>391</v>
      </c>
      <c r="S5" t="s">
        <v>273</v>
      </c>
      <c r="T5" t="s">
        <v>273</v>
      </c>
      <c r="U5" t="s">
        <v>273</v>
      </c>
      <c r="V5" t="s">
        <v>273</v>
      </c>
      <c r="W5" t="s">
        <v>128</v>
      </c>
      <c r="X5" t="s">
        <v>273</v>
      </c>
      <c r="Z5" t="s">
        <v>511</v>
      </c>
      <c r="AA5" t="s">
        <v>273</v>
      </c>
      <c r="AB5" t="s">
        <v>153</v>
      </c>
      <c r="AC5" t="s">
        <v>511</v>
      </c>
      <c r="AD5" t="s">
        <v>511</v>
      </c>
      <c r="AE5" t="s">
        <v>273</v>
      </c>
      <c r="AF5" t="s">
        <v>224</v>
      </c>
      <c r="AG5" t="s">
        <v>273</v>
      </c>
      <c r="AH5" t="s">
        <v>273</v>
      </c>
      <c r="AJ5" t="s">
        <v>273</v>
      </c>
      <c r="AK5" t="s">
        <v>273</v>
      </c>
      <c r="AM5" t="s">
        <v>273</v>
      </c>
      <c r="AN5" t="s">
        <v>273</v>
      </c>
      <c r="AP5" t="s">
        <v>273</v>
      </c>
      <c r="AQ5" t="s">
        <v>511</v>
      </c>
      <c r="AR5" t="s">
        <v>511</v>
      </c>
      <c r="AS5" t="s">
        <v>273</v>
      </c>
      <c r="AU5" t="s">
        <v>128</v>
      </c>
      <c r="AV5" t="s">
        <v>122</v>
      </c>
      <c r="AW5" t="s">
        <v>273</v>
      </c>
      <c r="AZ5" t="s">
        <v>273</v>
      </c>
      <c r="BC5" t="s">
        <v>273</v>
      </c>
      <c r="BE5" t="s">
        <v>273</v>
      </c>
      <c r="BF5" t="s">
        <v>273</v>
      </c>
      <c r="BG5" t="s">
        <v>273</v>
      </c>
      <c r="BH5" t="s">
        <v>273</v>
      </c>
    </row>
    <row r="6" spans="1:60" x14ac:dyDescent="0.3">
      <c r="A6" s="38" t="s">
        <v>468</v>
      </c>
      <c r="B6" s="38" t="s">
        <v>424</v>
      </c>
      <c r="C6" s="38" t="s">
        <v>425</v>
      </c>
      <c r="E6" s="7"/>
      <c r="F6" s="2" t="s">
        <v>527</v>
      </c>
      <c r="H6" t="s">
        <v>148</v>
      </c>
      <c r="J6" t="s">
        <v>275</v>
      </c>
      <c r="L6" t="s">
        <v>138</v>
      </c>
      <c r="Q6" s="34" t="s">
        <v>251</v>
      </c>
      <c r="S6" t="s">
        <v>275</v>
      </c>
      <c r="T6" t="s">
        <v>275</v>
      </c>
      <c r="U6" t="s">
        <v>275</v>
      </c>
      <c r="V6" t="s">
        <v>275</v>
      </c>
      <c r="W6" t="s">
        <v>132</v>
      </c>
      <c r="X6" t="s">
        <v>275</v>
      </c>
      <c r="Z6" t="s">
        <v>510</v>
      </c>
      <c r="AA6" t="s">
        <v>275</v>
      </c>
      <c r="AB6" t="s">
        <v>152</v>
      </c>
      <c r="AC6" t="s">
        <v>510</v>
      </c>
      <c r="AD6" t="s">
        <v>510</v>
      </c>
      <c r="AE6" t="s">
        <v>275</v>
      </c>
      <c r="AF6" t="s">
        <v>507</v>
      </c>
      <c r="AG6" t="s">
        <v>275</v>
      </c>
      <c r="AH6" t="s">
        <v>275</v>
      </c>
      <c r="AJ6" t="s">
        <v>275</v>
      </c>
      <c r="AK6" t="s">
        <v>275</v>
      </c>
      <c r="AM6" t="s">
        <v>275</v>
      </c>
      <c r="AN6" t="s">
        <v>275</v>
      </c>
      <c r="AP6" t="s">
        <v>275</v>
      </c>
      <c r="AQ6" t="s">
        <v>510</v>
      </c>
      <c r="AR6" t="s">
        <v>510</v>
      </c>
      <c r="AS6" t="s">
        <v>275</v>
      </c>
      <c r="AU6" t="s">
        <v>132</v>
      </c>
      <c r="AV6" t="s">
        <v>123</v>
      </c>
      <c r="AW6" t="s">
        <v>275</v>
      </c>
      <c r="AZ6" t="s">
        <v>275</v>
      </c>
      <c r="BC6" t="s">
        <v>275</v>
      </c>
      <c r="BE6" t="s">
        <v>275</v>
      </c>
      <c r="BF6" t="s">
        <v>275</v>
      </c>
      <c r="BG6" t="s">
        <v>275</v>
      </c>
      <c r="BH6" t="s">
        <v>275</v>
      </c>
    </row>
    <row r="7" spans="1:60" x14ac:dyDescent="0.3">
      <c r="A7" s="38" t="s">
        <v>306</v>
      </c>
      <c r="B7" s="38" t="s">
        <v>307</v>
      </c>
      <c r="C7" s="44" t="s">
        <v>308</v>
      </c>
      <c r="E7" s="7"/>
      <c r="F7" s="2" t="s">
        <v>528</v>
      </c>
      <c r="H7" t="s">
        <v>535</v>
      </c>
      <c r="J7" t="s">
        <v>277</v>
      </c>
      <c r="L7" t="s">
        <v>2</v>
      </c>
      <c r="Q7" s="34" t="s">
        <v>252</v>
      </c>
      <c r="S7" t="s">
        <v>277</v>
      </c>
      <c r="T7" t="s">
        <v>277</v>
      </c>
      <c r="U7" t="s">
        <v>277</v>
      </c>
      <c r="V7" t="s">
        <v>277</v>
      </c>
      <c r="W7" t="s">
        <v>509</v>
      </c>
      <c r="X7" t="s">
        <v>277</v>
      </c>
      <c r="Z7" t="s">
        <v>515</v>
      </c>
      <c r="AA7" t="s">
        <v>277</v>
      </c>
      <c r="AC7" t="s">
        <v>515</v>
      </c>
      <c r="AD7" t="s">
        <v>515</v>
      </c>
      <c r="AE7" t="s">
        <v>277</v>
      </c>
      <c r="AF7" t="s">
        <v>274</v>
      </c>
      <c r="AG7" t="s">
        <v>277</v>
      </c>
      <c r="AH7" t="s">
        <v>277</v>
      </c>
      <c r="AJ7" t="s">
        <v>277</v>
      </c>
      <c r="AK7" t="s">
        <v>277</v>
      </c>
      <c r="AM7" t="s">
        <v>277</v>
      </c>
      <c r="AN7" t="s">
        <v>277</v>
      </c>
      <c r="AP7" t="s">
        <v>277</v>
      </c>
      <c r="AQ7" t="s">
        <v>515</v>
      </c>
      <c r="AR7" t="s">
        <v>515</v>
      </c>
      <c r="AS7" t="s">
        <v>277</v>
      </c>
      <c r="AV7" t="s">
        <v>128</v>
      </c>
      <c r="AW7" t="s">
        <v>277</v>
      </c>
      <c r="AZ7" t="s">
        <v>277</v>
      </c>
      <c r="BC7" t="s">
        <v>277</v>
      </c>
      <c r="BE7" t="s">
        <v>277</v>
      </c>
      <c r="BF7" t="s">
        <v>277</v>
      </c>
      <c r="BG7" t="s">
        <v>277</v>
      </c>
      <c r="BH7" t="s">
        <v>277</v>
      </c>
    </row>
    <row r="8" spans="1:60" x14ac:dyDescent="0.3">
      <c r="A8" s="38" t="s">
        <v>309</v>
      </c>
      <c r="B8" s="38" t="s">
        <v>268</v>
      </c>
      <c r="C8" s="38" t="s">
        <v>310</v>
      </c>
      <c r="E8" s="7"/>
      <c r="F8" s="2" t="s">
        <v>529</v>
      </c>
      <c r="H8" t="s">
        <v>134</v>
      </c>
      <c r="J8" t="s">
        <v>538</v>
      </c>
      <c r="Q8" s="34" t="s">
        <v>433</v>
      </c>
      <c r="S8" t="s">
        <v>538</v>
      </c>
      <c r="T8" t="s">
        <v>538</v>
      </c>
      <c r="U8" t="s">
        <v>538</v>
      </c>
      <c r="V8" t="s">
        <v>538</v>
      </c>
      <c r="X8" t="s">
        <v>538</v>
      </c>
      <c r="Z8" t="s">
        <v>516</v>
      </c>
      <c r="AA8" t="s">
        <v>538</v>
      </c>
      <c r="AC8" t="s">
        <v>516</v>
      </c>
      <c r="AD8" t="s">
        <v>516</v>
      </c>
      <c r="AE8" t="s">
        <v>538</v>
      </c>
      <c r="AF8" t="s">
        <v>276</v>
      </c>
      <c r="AG8" t="s">
        <v>538</v>
      </c>
      <c r="AH8" t="s">
        <v>538</v>
      </c>
      <c r="AJ8" t="s">
        <v>538</v>
      </c>
      <c r="AK8" t="s">
        <v>538</v>
      </c>
      <c r="AM8" t="s">
        <v>538</v>
      </c>
      <c r="AN8" t="s">
        <v>538</v>
      </c>
      <c r="AP8" t="s">
        <v>538</v>
      </c>
      <c r="AQ8" t="s">
        <v>516</v>
      </c>
      <c r="AR8" t="s">
        <v>516</v>
      </c>
      <c r="AS8" t="s">
        <v>538</v>
      </c>
      <c r="AV8" t="s">
        <v>131</v>
      </c>
      <c r="AW8" t="s">
        <v>538</v>
      </c>
      <c r="AZ8" t="s">
        <v>538</v>
      </c>
      <c r="BC8" t="s">
        <v>538</v>
      </c>
      <c r="BE8" t="s">
        <v>538</v>
      </c>
      <c r="BF8" t="s">
        <v>538</v>
      </c>
      <c r="BG8" t="s">
        <v>538</v>
      </c>
      <c r="BH8" t="s">
        <v>538</v>
      </c>
    </row>
    <row r="9" spans="1:60" x14ac:dyDescent="0.3">
      <c r="A9" s="38" t="s">
        <v>311</v>
      </c>
      <c r="B9" s="38" t="s">
        <v>263</v>
      </c>
      <c r="C9" s="38" t="s">
        <v>312</v>
      </c>
      <c r="E9" s="7"/>
      <c r="F9" s="2" t="s">
        <v>530</v>
      </c>
      <c r="H9" t="s">
        <v>149</v>
      </c>
      <c r="J9" t="s">
        <v>114</v>
      </c>
      <c r="Q9" s="34" t="s">
        <v>204</v>
      </c>
      <c r="S9" t="s">
        <v>114</v>
      </c>
      <c r="T9" t="s">
        <v>114</v>
      </c>
      <c r="U9" t="s">
        <v>114</v>
      </c>
      <c r="V9" t="s">
        <v>114</v>
      </c>
      <c r="X9" t="s">
        <v>114</v>
      </c>
      <c r="Z9" t="s">
        <v>117</v>
      </c>
      <c r="AA9" t="s">
        <v>114</v>
      </c>
      <c r="AC9" t="s">
        <v>117</v>
      </c>
      <c r="AD9" t="s">
        <v>117</v>
      </c>
      <c r="AE9" t="s">
        <v>114</v>
      </c>
      <c r="AF9" t="s">
        <v>278</v>
      </c>
      <c r="AG9" t="s">
        <v>114</v>
      </c>
      <c r="AH9" t="s">
        <v>114</v>
      </c>
      <c r="AJ9" t="s">
        <v>114</v>
      </c>
      <c r="AK9" t="s">
        <v>114</v>
      </c>
      <c r="AM9" t="s">
        <v>114</v>
      </c>
      <c r="AN9" t="s">
        <v>114</v>
      </c>
      <c r="AP9" t="s">
        <v>114</v>
      </c>
      <c r="AQ9" t="s">
        <v>117</v>
      </c>
      <c r="AR9" t="s">
        <v>117</v>
      </c>
      <c r="AS9" t="s">
        <v>114</v>
      </c>
      <c r="AV9" t="s">
        <v>153</v>
      </c>
      <c r="AW9" t="s">
        <v>114</v>
      </c>
      <c r="AZ9" t="s">
        <v>114</v>
      </c>
      <c r="BC9" t="s">
        <v>114</v>
      </c>
      <c r="BE9" t="s">
        <v>114</v>
      </c>
      <c r="BF9" t="s">
        <v>114</v>
      </c>
      <c r="BG9" t="s">
        <v>114</v>
      </c>
      <c r="BH9" t="s">
        <v>114</v>
      </c>
    </row>
    <row r="10" spans="1:60" x14ac:dyDescent="0.3">
      <c r="A10" s="38" t="s">
        <v>61</v>
      </c>
      <c r="B10" s="38" t="s">
        <v>60</v>
      </c>
      <c r="C10" s="38" t="s">
        <v>62</v>
      </c>
      <c r="E10" s="7"/>
      <c r="F10" s="2" t="s">
        <v>531</v>
      </c>
      <c r="H10" t="s">
        <v>106</v>
      </c>
      <c r="J10" t="s">
        <v>271</v>
      </c>
      <c r="Q10" s="34" t="s">
        <v>461</v>
      </c>
      <c r="S10" t="s">
        <v>271</v>
      </c>
      <c r="T10" t="s">
        <v>271</v>
      </c>
      <c r="U10" t="s">
        <v>271</v>
      </c>
      <c r="V10" t="s">
        <v>271</v>
      </c>
      <c r="X10" t="s">
        <v>271</v>
      </c>
      <c r="Z10" t="s">
        <v>124</v>
      </c>
      <c r="AA10" t="s">
        <v>271</v>
      </c>
      <c r="AC10" t="s">
        <v>124</v>
      </c>
      <c r="AD10" t="s">
        <v>124</v>
      </c>
      <c r="AE10" t="s">
        <v>271</v>
      </c>
      <c r="AF10" t="s">
        <v>279</v>
      </c>
      <c r="AG10" t="s">
        <v>271</v>
      </c>
      <c r="AH10" t="s">
        <v>271</v>
      </c>
      <c r="AJ10" t="s">
        <v>271</v>
      </c>
      <c r="AK10" t="s">
        <v>271</v>
      </c>
      <c r="AM10" t="s">
        <v>271</v>
      </c>
      <c r="AN10" t="s">
        <v>271</v>
      </c>
      <c r="AP10" t="s">
        <v>271</v>
      </c>
      <c r="AQ10" t="s">
        <v>124</v>
      </c>
      <c r="AR10" t="s">
        <v>124</v>
      </c>
      <c r="AS10" t="s">
        <v>271</v>
      </c>
      <c r="AV10" t="s">
        <v>132</v>
      </c>
      <c r="AW10" t="s">
        <v>271</v>
      </c>
      <c r="AZ10" t="s">
        <v>271</v>
      </c>
      <c r="BC10" t="s">
        <v>271</v>
      </c>
      <c r="BE10" t="s">
        <v>271</v>
      </c>
      <c r="BF10" t="s">
        <v>271</v>
      </c>
      <c r="BG10" t="s">
        <v>271</v>
      </c>
      <c r="BH10" t="s">
        <v>271</v>
      </c>
    </row>
    <row r="11" spans="1:60" x14ac:dyDescent="0.3">
      <c r="A11" s="38" t="s">
        <v>17</v>
      </c>
      <c r="B11" s="38" t="s">
        <v>250</v>
      </c>
      <c r="C11" s="38" t="s">
        <v>18</v>
      </c>
      <c r="E11" s="7"/>
      <c r="F11" s="2" t="s">
        <v>532</v>
      </c>
      <c r="H11" t="s">
        <v>536</v>
      </c>
      <c r="J11" t="s">
        <v>281</v>
      </c>
      <c r="Q11" s="34" t="s">
        <v>253</v>
      </c>
      <c r="S11" t="s">
        <v>281</v>
      </c>
      <c r="T11" t="s">
        <v>281</v>
      </c>
      <c r="U11" t="s">
        <v>281</v>
      </c>
      <c r="V11" t="s">
        <v>281</v>
      </c>
      <c r="X11" t="s">
        <v>281</v>
      </c>
      <c r="Z11" t="s">
        <v>125</v>
      </c>
      <c r="AA11" t="s">
        <v>281</v>
      </c>
      <c r="AC11" t="s">
        <v>125</v>
      </c>
      <c r="AD11" t="s">
        <v>125</v>
      </c>
      <c r="AE11" t="s">
        <v>281</v>
      </c>
      <c r="AF11" t="s">
        <v>280</v>
      </c>
      <c r="AG11" t="s">
        <v>281</v>
      </c>
      <c r="AH11" t="s">
        <v>281</v>
      </c>
      <c r="AJ11" t="s">
        <v>281</v>
      </c>
      <c r="AK11" t="s">
        <v>281</v>
      </c>
      <c r="AM11" t="s">
        <v>281</v>
      </c>
      <c r="AN11" t="s">
        <v>281</v>
      </c>
      <c r="AP11" t="s">
        <v>281</v>
      </c>
      <c r="AQ11" t="s">
        <v>125</v>
      </c>
      <c r="AR11" t="s">
        <v>125</v>
      </c>
      <c r="AS11" t="s">
        <v>281</v>
      </c>
      <c r="AV11" t="s">
        <v>152</v>
      </c>
      <c r="AW11" t="s">
        <v>281</v>
      </c>
      <c r="AZ11" t="s">
        <v>281</v>
      </c>
      <c r="BC11" t="s">
        <v>281</v>
      </c>
      <c r="BE11" t="s">
        <v>281</v>
      </c>
      <c r="BF11" t="s">
        <v>281</v>
      </c>
      <c r="BG11" t="s">
        <v>281</v>
      </c>
      <c r="BH11" t="s">
        <v>281</v>
      </c>
    </row>
    <row r="12" spans="1:60" x14ac:dyDescent="0.3">
      <c r="A12" s="38" t="s">
        <v>485</v>
      </c>
      <c r="B12" s="38" t="s">
        <v>253</v>
      </c>
      <c r="C12" s="38" t="s">
        <v>486</v>
      </c>
      <c r="E12" s="7"/>
      <c r="F12" s="2" t="s">
        <v>533</v>
      </c>
      <c r="H12" t="s">
        <v>108</v>
      </c>
      <c r="J12" t="s">
        <v>283</v>
      </c>
      <c r="Q12" s="34" t="s">
        <v>447</v>
      </c>
      <c r="S12" t="s">
        <v>283</v>
      </c>
      <c r="T12" t="s">
        <v>283</v>
      </c>
      <c r="U12" t="s">
        <v>283</v>
      </c>
      <c r="V12" t="s">
        <v>283</v>
      </c>
      <c r="X12" t="s">
        <v>283</v>
      </c>
      <c r="Z12" t="s">
        <v>513</v>
      </c>
      <c r="AA12" t="s">
        <v>283</v>
      </c>
      <c r="AC12" t="s">
        <v>513</v>
      </c>
      <c r="AD12" t="s">
        <v>513</v>
      </c>
      <c r="AE12" t="s">
        <v>283</v>
      </c>
      <c r="AF12" t="s">
        <v>282</v>
      </c>
      <c r="AG12" t="s">
        <v>283</v>
      </c>
      <c r="AH12" t="s">
        <v>283</v>
      </c>
      <c r="AJ12" t="s">
        <v>283</v>
      </c>
      <c r="AK12" t="s">
        <v>283</v>
      </c>
      <c r="AM12" t="s">
        <v>283</v>
      </c>
      <c r="AN12" t="s">
        <v>283</v>
      </c>
      <c r="AP12" t="s">
        <v>283</v>
      </c>
      <c r="AQ12" t="s">
        <v>513</v>
      </c>
      <c r="AR12" t="s">
        <v>513</v>
      </c>
      <c r="AS12" t="s">
        <v>283</v>
      </c>
      <c r="AV12" t="s">
        <v>116</v>
      </c>
      <c r="AW12" t="s">
        <v>283</v>
      </c>
      <c r="AZ12" t="s">
        <v>283</v>
      </c>
      <c r="BC12" t="s">
        <v>283</v>
      </c>
      <c r="BE12" t="s">
        <v>283</v>
      </c>
      <c r="BF12" t="s">
        <v>283</v>
      </c>
      <c r="BG12" t="s">
        <v>283</v>
      </c>
      <c r="BH12" t="s">
        <v>283</v>
      </c>
    </row>
    <row r="13" spans="1:60" x14ac:dyDescent="0.3">
      <c r="A13" s="38" t="s">
        <v>392</v>
      </c>
      <c r="B13" s="38" t="s">
        <v>251</v>
      </c>
      <c r="C13" s="38" t="s">
        <v>393</v>
      </c>
      <c r="E13" s="7"/>
      <c r="F13" s="2" t="s">
        <v>534</v>
      </c>
      <c r="H13" t="s">
        <v>150</v>
      </c>
      <c r="J13" t="s">
        <v>285</v>
      </c>
      <c r="Q13" s="34" t="s">
        <v>265</v>
      </c>
      <c r="S13" t="s">
        <v>285</v>
      </c>
      <c r="T13" t="s">
        <v>285</v>
      </c>
      <c r="U13" t="s">
        <v>285</v>
      </c>
      <c r="V13" t="s">
        <v>285</v>
      </c>
      <c r="X13" t="s">
        <v>285</v>
      </c>
      <c r="Z13" t="s">
        <v>228</v>
      </c>
      <c r="AA13" t="s">
        <v>285</v>
      </c>
      <c r="AC13" t="s">
        <v>228</v>
      </c>
      <c r="AD13" t="s">
        <v>228</v>
      </c>
      <c r="AE13" t="s">
        <v>285</v>
      </c>
      <c r="AF13" t="s">
        <v>284</v>
      </c>
      <c r="AG13" t="s">
        <v>285</v>
      </c>
      <c r="AH13" t="s">
        <v>285</v>
      </c>
      <c r="AJ13" t="s">
        <v>285</v>
      </c>
      <c r="AK13" t="s">
        <v>285</v>
      </c>
      <c r="AM13" t="s">
        <v>285</v>
      </c>
      <c r="AN13" t="s">
        <v>285</v>
      </c>
      <c r="AP13" t="s">
        <v>285</v>
      </c>
      <c r="AQ13" t="s">
        <v>228</v>
      </c>
      <c r="AR13" t="s">
        <v>228</v>
      </c>
      <c r="AS13" t="s">
        <v>285</v>
      </c>
      <c r="AW13" t="s">
        <v>285</v>
      </c>
      <c r="AZ13" t="s">
        <v>285</v>
      </c>
      <c r="BC13" t="s">
        <v>285</v>
      </c>
      <c r="BE13" t="s">
        <v>285</v>
      </c>
      <c r="BF13" t="s">
        <v>285</v>
      </c>
      <c r="BG13" t="s">
        <v>285</v>
      </c>
      <c r="BH13" t="s">
        <v>285</v>
      </c>
    </row>
    <row r="14" spans="1:60" x14ac:dyDescent="0.3">
      <c r="A14" s="38" t="s">
        <v>212</v>
      </c>
      <c r="B14" s="38" t="s">
        <v>254</v>
      </c>
      <c r="C14" s="38" t="s">
        <v>213</v>
      </c>
      <c r="E14" s="7"/>
      <c r="F14" s="2"/>
      <c r="H14" t="s">
        <v>151</v>
      </c>
      <c r="J14" t="s">
        <v>272</v>
      </c>
      <c r="Q14" s="39" t="s">
        <v>263</v>
      </c>
      <c r="S14" t="s">
        <v>272</v>
      </c>
      <c r="T14" t="s">
        <v>272</v>
      </c>
      <c r="U14" t="s">
        <v>272</v>
      </c>
      <c r="V14" t="s">
        <v>272</v>
      </c>
      <c r="X14" t="s">
        <v>272</v>
      </c>
      <c r="Z14" t="s">
        <v>129</v>
      </c>
      <c r="AA14" t="s">
        <v>272</v>
      </c>
      <c r="AC14" t="s">
        <v>129</v>
      </c>
      <c r="AD14" t="s">
        <v>129</v>
      </c>
      <c r="AE14" t="s">
        <v>272</v>
      </c>
      <c r="AF14" t="s">
        <v>228</v>
      </c>
      <c r="AG14" t="s">
        <v>272</v>
      </c>
      <c r="AH14" t="s">
        <v>272</v>
      </c>
      <c r="AJ14" t="s">
        <v>272</v>
      </c>
      <c r="AK14" t="s">
        <v>272</v>
      </c>
      <c r="AM14" t="s">
        <v>272</v>
      </c>
      <c r="AN14" t="s">
        <v>272</v>
      </c>
      <c r="AP14" t="s">
        <v>272</v>
      </c>
      <c r="AQ14" t="s">
        <v>129</v>
      </c>
      <c r="AR14" t="s">
        <v>129</v>
      </c>
      <c r="AS14" t="s">
        <v>272</v>
      </c>
      <c r="AW14" t="s">
        <v>272</v>
      </c>
      <c r="AZ14" t="s">
        <v>272</v>
      </c>
      <c r="BC14" t="s">
        <v>272</v>
      </c>
      <c r="BE14" t="s">
        <v>272</v>
      </c>
      <c r="BF14" t="s">
        <v>272</v>
      </c>
      <c r="BG14" t="s">
        <v>272</v>
      </c>
      <c r="BH14" t="s">
        <v>272</v>
      </c>
    </row>
    <row r="15" spans="1:60" x14ac:dyDescent="0.3">
      <c r="A15" s="36" t="s">
        <v>182</v>
      </c>
      <c r="B15" s="43" t="s">
        <v>85</v>
      </c>
      <c r="C15" s="36" t="s">
        <v>183</v>
      </c>
      <c r="E15" s="7"/>
      <c r="F15" s="2"/>
      <c r="H15" t="s">
        <v>537</v>
      </c>
      <c r="J15" t="s">
        <v>286</v>
      </c>
      <c r="Q15" s="33" t="s">
        <v>254</v>
      </c>
      <c r="S15" t="s">
        <v>286</v>
      </c>
      <c r="T15" t="s">
        <v>286</v>
      </c>
      <c r="U15" t="s">
        <v>286</v>
      </c>
      <c r="V15" t="s">
        <v>286</v>
      </c>
      <c r="X15" t="s">
        <v>286</v>
      </c>
      <c r="Z15" t="s">
        <v>130</v>
      </c>
      <c r="AA15" t="s">
        <v>286</v>
      </c>
      <c r="AC15" t="s">
        <v>130</v>
      </c>
      <c r="AD15" t="s">
        <v>130</v>
      </c>
      <c r="AE15" t="s">
        <v>286</v>
      </c>
      <c r="AF15" t="s">
        <v>126</v>
      </c>
      <c r="AG15" t="s">
        <v>286</v>
      </c>
      <c r="AH15" t="s">
        <v>286</v>
      </c>
      <c r="AJ15" t="s">
        <v>286</v>
      </c>
      <c r="AK15" t="s">
        <v>286</v>
      </c>
      <c r="AM15" t="s">
        <v>286</v>
      </c>
      <c r="AN15" t="s">
        <v>286</v>
      </c>
      <c r="AP15" t="s">
        <v>286</v>
      </c>
      <c r="AQ15" t="s">
        <v>130</v>
      </c>
      <c r="AR15" t="s">
        <v>130</v>
      </c>
      <c r="AS15" t="s">
        <v>286</v>
      </c>
      <c r="AW15" t="s">
        <v>286</v>
      </c>
      <c r="AZ15" t="s">
        <v>286</v>
      </c>
      <c r="BC15" t="s">
        <v>286</v>
      </c>
      <c r="BE15" t="s">
        <v>286</v>
      </c>
      <c r="BF15" t="s">
        <v>286</v>
      </c>
      <c r="BG15" t="s">
        <v>286</v>
      </c>
      <c r="BH15" t="s">
        <v>286</v>
      </c>
    </row>
    <row r="16" spans="1:60" x14ac:dyDescent="0.3">
      <c r="A16" s="38" t="s">
        <v>420</v>
      </c>
      <c r="B16" s="38" t="s">
        <v>262</v>
      </c>
      <c r="C16" s="38" t="s">
        <v>421</v>
      </c>
      <c r="E16" s="7"/>
      <c r="F16" s="2"/>
      <c r="H16" t="s">
        <v>219</v>
      </c>
      <c r="J16" t="s">
        <v>507</v>
      </c>
      <c r="Q16" s="38" t="s">
        <v>267</v>
      </c>
      <c r="S16" t="s">
        <v>507</v>
      </c>
      <c r="T16" t="s">
        <v>507</v>
      </c>
      <c r="U16" t="s">
        <v>507</v>
      </c>
      <c r="V16" t="s">
        <v>507</v>
      </c>
      <c r="X16" t="s">
        <v>507</v>
      </c>
      <c r="Z16" t="s">
        <v>517</v>
      </c>
      <c r="AA16" t="s">
        <v>507</v>
      </c>
      <c r="AC16" t="s">
        <v>517</v>
      </c>
      <c r="AD16" t="s">
        <v>517</v>
      </c>
      <c r="AE16" t="s">
        <v>507</v>
      </c>
      <c r="AF16" t="s">
        <v>287</v>
      </c>
      <c r="AG16" t="s">
        <v>507</v>
      </c>
      <c r="AH16" t="s">
        <v>507</v>
      </c>
      <c r="AJ16" t="s">
        <v>507</v>
      </c>
      <c r="AK16" t="s">
        <v>507</v>
      </c>
      <c r="AM16" t="s">
        <v>507</v>
      </c>
      <c r="AN16" t="s">
        <v>507</v>
      </c>
      <c r="AP16" t="s">
        <v>507</v>
      </c>
      <c r="AQ16" t="s">
        <v>517</v>
      </c>
      <c r="AR16" t="s">
        <v>517</v>
      </c>
      <c r="AS16" t="s">
        <v>507</v>
      </c>
      <c r="AW16" t="s">
        <v>507</v>
      </c>
      <c r="AZ16" t="s">
        <v>507</v>
      </c>
      <c r="BC16" t="s">
        <v>507</v>
      </c>
      <c r="BE16" t="s">
        <v>507</v>
      </c>
      <c r="BF16" t="s">
        <v>507</v>
      </c>
      <c r="BG16" t="s">
        <v>507</v>
      </c>
      <c r="BH16" t="s">
        <v>507</v>
      </c>
    </row>
    <row r="17" spans="1:60" x14ac:dyDescent="0.3">
      <c r="A17" s="44" t="s">
        <v>313</v>
      </c>
      <c r="B17" s="43" t="s">
        <v>253</v>
      </c>
      <c r="C17" s="44" t="s">
        <v>314</v>
      </c>
      <c r="E17" s="7"/>
      <c r="F17" s="2"/>
      <c r="H17" t="s">
        <v>109</v>
      </c>
      <c r="J17" t="s">
        <v>274</v>
      </c>
      <c r="Q17" t="s">
        <v>546</v>
      </c>
      <c r="S17" t="s">
        <v>274</v>
      </c>
      <c r="T17" t="s">
        <v>274</v>
      </c>
      <c r="U17" t="s">
        <v>274</v>
      </c>
      <c r="V17" t="s">
        <v>274</v>
      </c>
      <c r="X17" t="s">
        <v>274</v>
      </c>
      <c r="Z17" t="s">
        <v>518</v>
      </c>
      <c r="AA17" t="s">
        <v>274</v>
      </c>
      <c r="AC17" t="s">
        <v>518</v>
      </c>
      <c r="AD17" t="s">
        <v>518</v>
      </c>
      <c r="AE17" t="s">
        <v>274</v>
      </c>
      <c r="AF17" t="s">
        <v>227</v>
      </c>
      <c r="AG17" t="s">
        <v>274</v>
      </c>
      <c r="AH17" t="s">
        <v>274</v>
      </c>
      <c r="AJ17" t="s">
        <v>274</v>
      </c>
      <c r="AK17" t="s">
        <v>274</v>
      </c>
      <c r="AM17" t="s">
        <v>274</v>
      </c>
      <c r="AN17" t="s">
        <v>274</v>
      </c>
      <c r="AP17" t="s">
        <v>274</v>
      </c>
      <c r="AQ17" t="s">
        <v>518</v>
      </c>
      <c r="AR17" t="s">
        <v>518</v>
      </c>
      <c r="AS17" t="s">
        <v>274</v>
      </c>
      <c r="AW17" t="s">
        <v>274</v>
      </c>
      <c r="AZ17" t="s">
        <v>274</v>
      </c>
      <c r="BC17" t="s">
        <v>274</v>
      </c>
      <c r="BE17" t="s">
        <v>274</v>
      </c>
      <c r="BF17" t="s">
        <v>274</v>
      </c>
      <c r="BG17" t="s">
        <v>274</v>
      </c>
      <c r="BH17" t="s">
        <v>274</v>
      </c>
    </row>
    <row r="18" spans="1:60" x14ac:dyDescent="0.3">
      <c r="A18" s="38" t="s">
        <v>408</v>
      </c>
      <c r="B18" s="38" t="s">
        <v>398</v>
      </c>
      <c r="C18" s="38" t="s">
        <v>409</v>
      </c>
      <c r="F18" s="2"/>
      <c r="H18" t="s">
        <v>107</v>
      </c>
      <c r="J18" t="s">
        <v>276</v>
      </c>
      <c r="Q18" s="34" t="s">
        <v>255</v>
      </c>
      <c r="S18" t="s">
        <v>276</v>
      </c>
      <c r="T18" t="s">
        <v>276</v>
      </c>
      <c r="U18" t="s">
        <v>276</v>
      </c>
      <c r="V18" t="s">
        <v>276</v>
      </c>
      <c r="X18" t="s">
        <v>276</v>
      </c>
      <c r="Z18" t="s">
        <v>133</v>
      </c>
      <c r="AA18" t="s">
        <v>276</v>
      </c>
      <c r="AC18" t="s">
        <v>133</v>
      </c>
      <c r="AD18" t="s">
        <v>133</v>
      </c>
      <c r="AE18" t="s">
        <v>276</v>
      </c>
      <c r="AF18" t="s">
        <v>288</v>
      </c>
      <c r="AG18" t="s">
        <v>276</v>
      </c>
      <c r="AH18" t="s">
        <v>276</v>
      </c>
      <c r="AJ18" t="s">
        <v>276</v>
      </c>
      <c r="AK18" t="s">
        <v>276</v>
      </c>
      <c r="AM18" t="s">
        <v>276</v>
      </c>
      <c r="AN18" t="s">
        <v>276</v>
      </c>
      <c r="AP18" t="s">
        <v>276</v>
      </c>
      <c r="AQ18" t="s">
        <v>133</v>
      </c>
      <c r="AR18" t="s">
        <v>133</v>
      </c>
      <c r="AS18" t="s">
        <v>276</v>
      </c>
      <c r="AW18" t="s">
        <v>276</v>
      </c>
      <c r="AZ18" t="s">
        <v>276</v>
      </c>
      <c r="BC18" t="s">
        <v>276</v>
      </c>
      <c r="BE18" t="s">
        <v>276</v>
      </c>
      <c r="BF18" t="s">
        <v>276</v>
      </c>
      <c r="BG18" t="s">
        <v>276</v>
      </c>
      <c r="BH18" t="s">
        <v>276</v>
      </c>
    </row>
    <row r="19" spans="1:60" x14ac:dyDescent="0.3">
      <c r="A19" s="34" t="s">
        <v>568</v>
      </c>
      <c r="B19" s="34" t="s">
        <v>569</v>
      </c>
      <c r="C19" s="34" t="s">
        <v>570</v>
      </c>
      <c r="H19" t="s">
        <v>222</v>
      </c>
      <c r="J19" t="s">
        <v>116</v>
      </c>
      <c r="Q19" s="34" t="s">
        <v>256</v>
      </c>
      <c r="S19" t="s">
        <v>116</v>
      </c>
      <c r="T19" t="s">
        <v>116</v>
      </c>
      <c r="U19" t="s">
        <v>116</v>
      </c>
      <c r="V19" t="s">
        <v>116</v>
      </c>
      <c r="X19" t="s">
        <v>116</v>
      </c>
      <c r="AA19" t="s">
        <v>116</v>
      </c>
      <c r="AE19" t="s">
        <v>116</v>
      </c>
      <c r="AF19" t="s">
        <v>289</v>
      </c>
      <c r="AG19" t="s">
        <v>116</v>
      </c>
      <c r="AH19" t="s">
        <v>116</v>
      </c>
      <c r="AJ19" t="s">
        <v>116</v>
      </c>
      <c r="AK19" t="s">
        <v>116</v>
      </c>
      <c r="AM19" t="s">
        <v>116</v>
      </c>
      <c r="AN19" t="s">
        <v>116</v>
      </c>
      <c r="AP19" t="s">
        <v>116</v>
      </c>
      <c r="AS19" t="s">
        <v>116</v>
      </c>
      <c r="AW19" t="s">
        <v>116</v>
      </c>
      <c r="AZ19" t="s">
        <v>116</v>
      </c>
      <c r="BC19" t="s">
        <v>116</v>
      </c>
      <c r="BE19" t="s">
        <v>116</v>
      </c>
      <c r="BF19" t="s">
        <v>116</v>
      </c>
      <c r="BG19" t="s">
        <v>116</v>
      </c>
      <c r="BH19" t="s">
        <v>116</v>
      </c>
    </row>
    <row r="20" spans="1:60" x14ac:dyDescent="0.3">
      <c r="A20" s="36" t="s">
        <v>214</v>
      </c>
      <c r="B20" s="38" t="s">
        <v>215</v>
      </c>
      <c r="C20" s="36" t="s">
        <v>216</v>
      </c>
      <c r="H20" t="s">
        <v>223</v>
      </c>
      <c r="J20" t="s">
        <v>278</v>
      </c>
      <c r="Q20" s="34" t="s">
        <v>266</v>
      </c>
      <c r="S20" t="s">
        <v>278</v>
      </c>
      <c r="T20" t="s">
        <v>278</v>
      </c>
      <c r="U20" t="s">
        <v>278</v>
      </c>
      <c r="V20" t="s">
        <v>278</v>
      </c>
      <c r="X20" t="s">
        <v>278</v>
      </c>
      <c r="AA20" t="s">
        <v>278</v>
      </c>
      <c r="AE20" t="s">
        <v>278</v>
      </c>
      <c r="AF20" t="s">
        <v>290</v>
      </c>
      <c r="AG20" t="s">
        <v>278</v>
      </c>
      <c r="AH20" t="s">
        <v>278</v>
      </c>
      <c r="AJ20" t="s">
        <v>278</v>
      </c>
      <c r="AK20" t="s">
        <v>278</v>
      </c>
      <c r="AM20" t="s">
        <v>278</v>
      </c>
      <c r="AN20" t="s">
        <v>278</v>
      </c>
      <c r="AP20" t="s">
        <v>278</v>
      </c>
      <c r="AS20" t="s">
        <v>278</v>
      </c>
      <c r="AW20" t="s">
        <v>278</v>
      </c>
      <c r="AZ20" t="s">
        <v>278</v>
      </c>
      <c r="BC20" t="s">
        <v>278</v>
      </c>
      <c r="BE20" t="s">
        <v>278</v>
      </c>
      <c r="BF20" t="s">
        <v>278</v>
      </c>
      <c r="BG20" t="s">
        <v>278</v>
      </c>
      <c r="BH20" t="s">
        <v>278</v>
      </c>
    </row>
    <row r="21" spans="1:60" x14ac:dyDescent="0.3">
      <c r="A21" s="40" t="s">
        <v>315</v>
      </c>
      <c r="B21" s="43" t="s">
        <v>85</v>
      </c>
      <c r="C21" s="41" t="s">
        <v>316</v>
      </c>
      <c r="J21" t="s">
        <v>279</v>
      </c>
      <c r="Q21" s="34" t="s">
        <v>257</v>
      </c>
      <c r="S21" t="s">
        <v>279</v>
      </c>
      <c r="T21" t="s">
        <v>279</v>
      </c>
      <c r="U21" t="s">
        <v>279</v>
      </c>
      <c r="V21" t="s">
        <v>279</v>
      </c>
      <c r="X21" t="s">
        <v>279</v>
      </c>
      <c r="AA21" t="s">
        <v>279</v>
      </c>
      <c r="AE21" t="s">
        <v>279</v>
      </c>
      <c r="AG21" t="s">
        <v>279</v>
      </c>
      <c r="AH21" t="s">
        <v>279</v>
      </c>
      <c r="AJ21" t="s">
        <v>279</v>
      </c>
      <c r="AK21" t="s">
        <v>279</v>
      </c>
      <c r="AM21" t="s">
        <v>279</v>
      </c>
      <c r="AN21" t="s">
        <v>279</v>
      </c>
      <c r="AP21" t="s">
        <v>279</v>
      </c>
      <c r="AS21" t="s">
        <v>279</v>
      </c>
      <c r="AW21" t="s">
        <v>279</v>
      </c>
      <c r="AZ21" t="s">
        <v>279</v>
      </c>
      <c r="BC21" t="s">
        <v>279</v>
      </c>
      <c r="BE21" t="s">
        <v>279</v>
      </c>
      <c r="BF21" t="s">
        <v>279</v>
      </c>
      <c r="BG21" t="s">
        <v>279</v>
      </c>
      <c r="BH21" t="s">
        <v>279</v>
      </c>
    </row>
    <row r="22" spans="1:60" x14ac:dyDescent="0.3">
      <c r="A22" s="38" t="s">
        <v>184</v>
      </c>
      <c r="B22" s="38" t="s">
        <v>55</v>
      </c>
      <c r="C22" s="38" t="s">
        <v>185</v>
      </c>
      <c r="J22" t="s">
        <v>177</v>
      </c>
      <c r="Q22" s="34" t="s">
        <v>477</v>
      </c>
      <c r="S22" t="s">
        <v>177</v>
      </c>
      <c r="T22" t="s">
        <v>177</v>
      </c>
      <c r="U22" t="s">
        <v>177</v>
      </c>
      <c r="V22" t="s">
        <v>177</v>
      </c>
      <c r="X22" t="s">
        <v>177</v>
      </c>
      <c r="AA22" t="s">
        <v>177</v>
      </c>
      <c r="AE22" t="s">
        <v>177</v>
      </c>
      <c r="AG22" t="s">
        <v>177</v>
      </c>
      <c r="AH22" t="s">
        <v>177</v>
      </c>
      <c r="AJ22" t="s">
        <v>177</v>
      </c>
      <c r="AK22" t="s">
        <v>177</v>
      </c>
      <c r="AM22" t="s">
        <v>177</v>
      </c>
      <c r="AN22" t="s">
        <v>177</v>
      </c>
      <c r="AP22" t="s">
        <v>177</v>
      </c>
      <c r="AS22" t="s">
        <v>177</v>
      </c>
      <c r="AW22" t="s">
        <v>177</v>
      </c>
      <c r="AZ22" t="s">
        <v>177</v>
      </c>
      <c r="BC22" t="s">
        <v>177</v>
      </c>
      <c r="BE22" t="s">
        <v>177</v>
      </c>
      <c r="BF22" t="s">
        <v>177</v>
      </c>
      <c r="BG22" t="s">
        <v>177</v>
      </c>
      <c r="BH22" t="s">
        <v>177</v>
      </c>
    </row>
    <row r="23" spans="1:60" x14ac:dyDescent="0.3">
      <c r="A23" s="38" t="s">
        <v>317</v>
      </c>
      <c r="B23" s="38" t="s">
        <v>254</v>
      </c>
      <c r="C23" s="38" t="s">
        <v>318</v>
      </c>
      <c r="J23" t="s">
        <v>118</v>
      </c>
      <c r="Q23" s="34" t="s">
        <v>55</v>
      </c>
      <c r="S23" t="s">
        <v>118</v>
      </c>
      <c r="T23" t="s">
        <v>118</v>
      </c>
      <c r="U23" t="s">
        <v>118</v>
      </c>
      <c r="V23" t="s">
        <v>118</v>
      </c>
      <c r="X23" t="s">
        <v>118</v>
      </c>
      <c r="AA23" t="s">
        <v>118</v>
      </c>
      <c r="AE23" t="s">
        <v>118</v>
      </c>
      <c r="AG23" t="s">
        <v>118</v>
      </c>
      <c r="AH23" t="s">
        <v>118</v>
      </c>
      <c r="AJ23" t="s">
        <v>118</v>
      </c>
      <c r="AK23" t="s">
        <v>118</v>
      </c>
      <c r="AM23" t="s">
        <v>118</v>
      </c>
      <c r="AN23" t="s">
        <v>118</v>
      </c>
      <c r="AP23" t="s">
        <v>118</v>
      </c>
      <c r="AS23" t="s">
        <v>118</v>
      </c>
      <c r="AW23" t="s">
        <v>118</v>
      </c>
      <c r="AZ23" t="s">
        <v>118</v>
      </c>
      <c r="BC23" t="s">
        <v>118</v>
      </c>
      <c r="BE23" t="s">
        <v>118</v>
      </c>
      <c r="BF23" t="s">
        <v>118</v>
      </c>
      <c r="BG23" t="s">
        <v>118</v>
      </c>
      <c r="BH23" t="s">
        <v>118</v>
      </c>
    </row>
    <row r="24" spans="1:60" x14ac:dyDescent="0.3">
      <c r="A24" s="34" t="s">
        <v>581</v>
      </c>
      <c r="B24" s="34" t="s">
        <v>582</v>
      </c>
      <c r="C24" s="34" t="s">
        <v>583</v>
      </c>
      <c r="J24" t="s">
        <v>119</v>
      </c>
      <c r="Q24" s="34" t="s">
        <v>60</v>
      </c>
      <c r="S24" t="s">
        <v>119</v>
      </c>
      <c r="T24" t="s">
        <v>119</v>
      </c>
      <c r="U24" t="s">
        <v>119</v>
      </c>
      <c r="V24" t="s">
        <v>119</v>
      </c>
      <c r="X24" t="s">
        <v>119</v>
      </c>
      <c r="AA24" t="s">
        <v>119</v>
      </c>
      <c r="AE24" t="s">
        <v>119</v>
      </c>
      <c r="AG24" t="s">
        <v>119</v>
      </c>
      <c r="AH24" t="s">
        <v>119</v>
      </c>
      <c r="AJ24" t="s">
        <v>119</v>
      </c>
      <c r="AK24" t="s">
        <v>119</v>
      </c>
      <c r="AM24" t="s">
        <v>119</v>
      </c>
      <c r="AN24" t="s">
        <v>119</v>
      </c>
      <c r="AP24" t="s">
        <v>119</v>
      </c>
      <c r="AS24" t="s">
        <v>119</v>
      </c>
      <c r="AW24" t="s">
        <v>119</v>
      </c>
      <c r="AZ24" t="s">
        <v>119</v>
      </c>
      <c r="BC24" t="s">
        <v>119</v>
      </c>
      <c r="BE24" t="s">
        <v>119</v>
      </c>
      <c r="BF24" t="s">
        <v>119</v>
      </c>
      <c r="BG24" t="s">
        <v>119</v>
      </c>
      <c r="BH24" t="s">
        <v>119</v>
      </c>
    </row>
    <row r="25" spans="1:60" x14ac:dyDescent="0.3">
      <c r="A25" s="36" t="s">
        <v>319</v>
      </c>
      <c r="B25" s="38" t="s">
        <v>85</v>
      </c>
      <c r="C25" s="43" t="s">
        <v>320</v>
      </c>
      <c r="J25" t="s">
        <v>120</v>
      </c>
      <c r="Q25" s="34" t="s">
        <v>215</v>
      </c>
      <c r="S25" t="s">
        <v>120</v>
      </c>
      <c r="T25" t="s">
        <v>120</v>
      </c>
      <c r="U25" t="s">
        <v>120</v>
      </c>
      <c r="V25" t="s">
        <v>120</v>
      </c>
      <c r="X25" t="s">
        <v>120</v>
      </c>
      <c r="AA25" t="s">
        <v>120</v>
      </c>
      <c r="AE25" t="s">
        <v>120</v>
      </c>
      <c r="AG25" t="s">
        <v>120</v>
      </c>
      <c r="AH25" t="s">
        <v>120</v>
      </c>
      <c r="AJ25" t="s">
        <v>120</v>
      </c>
      <c r="AK25" t="s">
        <v>120</v>
      </c>
      <c r="AM25" t="s">
        <v>120</v>
      </c>
      <c r="AN25" t="s">
        <v>120</v>
      </c>
      <c r="AP25" t="s">
        <v>120</v>
      </c>
      <c r="AS25" t="s">
        <v>120</v>
      </c>
      <c r="AW25" t="s">
        <v>120</v>
      </c>
      <c r="AZ25" t="s">
        <v>120</v>
      </c>
      <c r="BC25" t="s">
        <v>120</v>
      </c>
      <c r="BE25" t="s">
        <v>120</v>
      </c>
      <c r="BF25" t="s">
        <v>120</v>
      </c>
      <c r="BG25" t="s">
        <v>120</v>
      </c>
      <c r="BH25" t="s">
        <v>120</v>
      </c>
    </row>
    <row r="26" spans="1:60" x14ac:dyDescent="0.3">
      <c r="A26" s="38" t="s">
        <v>483</v>
      </c>
      <c r="B26" s="38" t="s">
        <v>254</v>
      </c>
      <c r="C26" s="38" t="s">
        <v>484</v>
      </c>
      <c r="F26" s="3"/>
      <c r="J26" t="s">
        <v>121</v>
      </c>
      <c r="Q26" s="34" t="s">
        <v>291</v>
      </c>
      <c r="S26" t="s">
        <v>121</v>
      </c>
      <c r="T26" t="s">
        <v>121</v>
      </c>
      <c r="U26" t="s">
        <v>121</v>
      </c>
      <c r="V26" t="s">
        <v>121</v>
      </c>
      <c r="X26" t="s">
        <v>121</v>
      </c>
      <c r="AA26" t="s">
        <v>121</v>
      </c>
      <c r="AE26" t="s">
        <v>121</v>
      </c>
      <c r="AG26" t="s">
        <v>121</v>
      </c>
      <c r="AH26" t="s">
        <v>121</v>
      </c>
      <c r="AJ26" t="s">
        <v>121</v>
      </c>
      <c r="AK26" t="s">
        <v>121</v>
      </c>
      <c r="AM26" t="s">
        <v>121</v>
      </c>
      <c r="AN26" t="s">
        <v>121</v>
      </c>
      <c r="AP26" t="s">
        <v>121</v>
      </c>
      <c r="AS26" t="s">
        <v>121</v>
      </c>
      <c r="AW26" t="s">
        <v>121</v>
      </c>
      <c r="AZ26" t="s">
        <v>121</v>
      </c>
      <c r="BC26" t="s">
        <v>121</v>
      </c>
      <c r="BE26" t="s">
        <v>121</v>
      </c>
      <c r="BF26" t="s">
        <v>121</v>
      </c>
      <c r="BG26" t="s">
        <v>121</v>
      </c>
      <c r="BH26" t="s">
        <v>121</v>
      </c>
    </row>
    <row r="27" spans="1:60" x14ac:dyDescent="0.3">
      <c r="A27" s="41" t="s">
        <v>81</v>
      </c>
      <c r="B27" s="43" t="s">
        <v>293</v>
      </c>
      <c r="C27" s="41" t="s">
        <v>82</v>
      </c>
      <c r="J27" t="s">
        <v>178</v>
      </c>
      <c r="Q27" s="34" t="s">
        <v>258</v>
      </c>
      <c r="S27" t="s">
        <v>178</v>
      </c>
      <c r="T27" t="s">
        <v>178</v>
      </c>
      <c r="U27" t="s">
        <v>178</v>
      </c>
      <c r="V27" t="s">
        <v>178</v>
      </c>
      <c r="X27" t="s">
        <v>178</v>
      </c>
      <c r="AA27" t="s">
        <v>178</v>
      </c>
      <c r="AE27" t="s">
        <v>178</v>
      </c>
      <c r="AG27" t="s">
        <v>178</v>
      </c>
      <c r="AH27" t="s">
        <v>178</v>
      </c>
      <c r="AJ27" t="s">
        <v>178</v>
      </c>
      <c r="AK27" t="s">
        <v>178</v>
      </c>
      <c r="AM27" t="s">
        <v>178</v>
      </c>
      <c r="AN27" t="s">
        <v>178</v>
      </c>
      <c r="AP27" t="s">
        <v>178</v>
      </c>
      <c r="AS27" t="s">
        <v>178</v>
      </c>
      <c r="AW27" t="s">
        <v>178</v>
      </c>
      <c r="AZ27" t="s">
        <v>178</v>
      </c>
      <c r="BC27" t="s">
        <v>178</v>
      </c>
      <c r="BE27" t="s">
        <v>178</v>
      </c>
      <c r="BF27" t="s">
        <v>178</v>
      </c>
      <c r="BG27" t="s">
        <v>178</v>
      </c>
      <c r="BH27" t="s">
        <v>178</v>
      </c>
    </row>
    <row r="28" spans="1:60" x14ac:dyDescent="0.3">
      <c r="A28" s="38" t="s">
        <v>321</v>
      </c>
      <c r="B28" s="38" t="s">
        <v>253</v>
      </c>
      <c r="C28" s="38" t="s">
        <v>322</v>
      </c>
      <c r="J28" t="s">
        <v>122</v>
      </c>
      <c r="Q28" s="34" t="s">
        <v>264</v>
      </c>
      <c r="S28" t="s">
        <v>122</v>
      </c>
      <c r="T28" t="s">
        <v>122</v>
      </c>
      <c r="U28" t="s">
        <v>122</v>
      </c>
      <c r="V28" t="s">
        <v>122</v>
      </c>
      <c r="X28" t="s">
        <v>122</v>
      </c>
      <c r="AA28" t="s">
        <v>122</v>
      </c>
      <c r="AE28" t="s">
        <v>122</v>
      </c>
      <c r="AG28" t="s">
        <v>122</v>
      </c>
      <c r="AH28" t="s">
        <v>122</v>
      </c>
      <c r="AJ28" t="s">
        <v>122</v>
      </c>
      <c r="AK28" t="s">
        <v>122</v>
      </c>
      <c r="AM28" t="s">
        <v>122</v>
      </c>
      <c r="AN28" t="s">
        <v>122</v>
      </c>
      <c r="AP28" t="s">
        <v>122</v>
      </c>
      <c r="AS28" t="s">
        <v>122</v>
      </c>
      <c r="AW28" t="s">
        <v>122</v>
      </c>
      <c r="AZ28" t="s">
        <v>122</v>
      </c>
      <c r="BC28" t="s">
        <v>122</v>
      </c>
      <c r="BE28" t="s">
        <v>122</v>
      </c>
      <c r="BF28" t="s">
        <v>122</v>
      </c>
      <c r="BG28" t="s">
        <v>122</v>
      </c>
      <c r="BH28" t="s">
        <v>122</v>
      </c>
    </row>
    <row r="29" spans="1:60" x14ac:dyDescent="0.3">
      <c r="A29" s="38" t="s">
        <v>405</v>
      </c>
      <c r="B29" s="38" t="s">
        <v>406</v>
      </c>
      <c r="C29" s="38" t="s">
        <v>407</v>
      </c>
      <c r="J29" t="s">
        <v>123</v>
      </c>
      <c r="Q29" s="34" t="s">
        <v>259</v>
      </c>
      <c r="S29" t="s">
        <v>123</v>
      </c>
      <c r="T29" t="s">
        <v>123</v>
      </c>
      <c r="U29" t="s">
        <v>123</v>
      </c>
      <c r="V29" t="s">
        <v>123</v>
      </c>
      <c r="X29" t="s">
        <v>123</v>
      </c>
      <c r="AA29" t="s">
        <v>123</v>
      </c>
      <c r="AE29" t="s">
        <v>123</v>
      </c>
      <c r="AG29" t="s">
        <v>123</v>
      </c>
      <c r="AH29" t="s">
        <v>123</v>
      </c>
      <c r="AJ29" t="s">
        <v>123</v>
      </c>
      <c r="AK29" t="s">
        <v>123</v>
      </c>
      <c r="AM29" t="s">
        <v>123</v>
      </c>
      <c r="AN29" t="s">
        <v>123</v>
      </c>
      <c r="AP29" t="s">
        <v>123</v>
      </c>
      <c r="AS29" t="s">
        <v>123</v>
      </c>
      <c r="AW29" t="s">
        <v>123</v>
      </c>
      <c r="AZ29" t="s">
        <v>123</v>
      </c>
      <c r="BC29" t="s">
        <v>123</v>
      </c>
      <c r="BE29" t="s">
        <v>123</v>
      </c>
      <c r="BF29" t="s">
        <v>123</v>
      </c>
      <c r="BG29" t="s">
        <v>123</v>
      </c>
      <c r="BH29" t="s">
        <v>123</v>
      </c>
    </row>
    <row r="30" spans="1:60" x14ac:dyDescent="0.3">
      <c r="A30" s="36" t="s">
        <v>93</v>
      </c>
      <c r="B30" s="38" t="s">
        <v>262</v>
      </c>
      <c r="C30" s="43" t="s">
        <v>94</v>
      </c>
      <c r="J30" t="s">
        <v>294</v>
      </c>
      <c r="Q30" s="34" t="s">
        <v>292</v>
      </c>
      <c r="S30" t="s">
        <v>294</v>
      </c>
      <c r="T30" t="s">
        <v>294</v>
      </c>
      <c r="U30" t="s">
        <v>294</v>
      </c>
      <c r="V30" t="s">
        <v>294</v>
      </c>
      <c r="X30" t="s">
        <v>294</v>
      </c>
      <c r="AA30" t="s">
        <v>294</v>
      </c>
      <c r="AE30" t="s">
        <v>294</v>
      </c>
      <c r="AG30" t="s">
        <v>294</v>
      </c>
      <c r="AH30" t="s">
        <v>294</v>
      </c>
      <c r="AJ30" t="s">
        <v>294</v>
      </c>
      <c r="AK30" t="s">
        <v>294</v>
      </c>
      <c r="AM30" t="s">
        <v>294</v>
      </c>
      <c r="AN30" t="s">
        <v>294</v>
      </c>
      <c r="AP30" t="s">
        <v>294</v>
      </c>
      <c r="AS30" t="s">
        <v>294</v>
      </c>
      <c r="AW30" t="s">
        <v>294</v>
      </c>
      <c r="AZ30" t="s">
        <v>294</v>
      </c>
      <c r="BC30" t="s">
        <v>294</v>
      </c>
      <c r="BE30" t="s">
        <v>294</v>
      </c>
      <c r="BF30" t="s">
        <v>294</v>
      </c>
      <c r="BG30" t="s">
        <v>294</v>
      </c>
      <c r="BH30" t="s">
        <v>294</v>
      </c>
    </row>
    <row r="31" spans="1:60" x14ac:dyDescent="0.3">
      <c r="A31" s="44" t="s">
        <v>63</v>
      </c>
      <c r="B31" s="43" t="s">
        <v>60</v>
      </c>
      <c r="C31" s="44" t="s">
        <v>64</v>
      </c>
      <c r="J31" t="s">
        <v>280</v>
      </c>
      <c r="Q31" s="34" t="s">
        <v>398</v>
      </c>
      <c r="S31" t="s">
        <v>280</v>
      </c>
      <c r="T31" t="s">
        <v>280</v>
      </c>
      <c r="U31" t="s">
        <v>280</v>
      </c>
      <c r="V31" t="s">
        <v>280</v>
      </c>
      <c r="X31" t="s">
        <v>280</v>
      </c>
      <c r="AA31" t="s">
        <v>280</v>
      </c>
      <c r="AE31" t="s">
        <v>280</v>
      </c>
      <c r="AG31" t="s">
        <v>280</v>
      </c>
      <c r="AH31" t="s">
        <v>280</v>
      </c>
      <c r="AJ31" t="s">
        <v>280</v>
      </c>
      <c r="AK31" t="s">
        <v>280</v>
      </c>
      <c r="AM31" t="s">
        <v>280</v>
      </c>
      <c r="AN31" t="s">
        <v>280</v>
      </c>
      <c r="AP31" t="s">
        <v>280</v>
      </c>
      <c r="AS31" t="s">
        <v>280</v>
      </c>
      <c r="AW31" t="s">
        <v>280</v>
      </c>
      <c r="AZ31" t="s">
        <v>280</v>
      </c>
      <c r="BC31" t="s">
        <v>280</v>
      </c>
      <c r="BE31" t="s">
        <v>280</v>
      </c>
      <c r="BF31" t="s">
        <v>280</v>
      </c>
      <c r="BG31" t="s">
        <v>280</v>
      </c>
      <c r="BH31" t="s">
        <v>280</v>
      </c>
    </row>
    <row r="32" spans="1:60" x14ac:dyDescent="0.3">
      <c r="A32" s="34" t="s">
        <v>552</v>
      </c>
      <c r="B32" s="34" t="s">
        <v>254</v>
      </c>
      <c r="C32" s="34" t="s">
        <v>553</v>
      </c>
      <c r="J32" t="s">
        <v>282</v>
      </c>
      <c r="Q32" s="34" t="s">
        <v>406</v>
      </c>
      <c r="S32" t="s">
        <v>282</v>
      </c>
      <c r="T32" t="s">
        <v>282</v>
      </c>
      <c r="U32" t="s">
        <v>282</v>
      </c>
      <c r="V32" t="s">
        <v>282</v>
      </c>
      <c r="X32" t="s">
        <v>282</v>
      </c>
      <c r="AA32" t="s">
        <v>282</v>
      </c>
      <c r="AE32" t="s">
        <v>282</v>
      </c>
      <c r="AG32" t="s">
        <v>282</v>
      </c>
      <c r="AH32" t="s">
        <v>282</v>
      </c>
      <c r="AJ32" t="s">
        <v>282</v>
      </c>
      <c r="AK32" t="s">
        <v>282</v>
      </c>
      <c r="AM32" t="s">
        <v>282</v>
      </c>
      <c r="AN32" t="s">
        <v>282</v>
      </c>
      <c r="AP32" t="s">
        <v>282</v>
      </c>
      <c r="AS32" t="s">
        <v>282</v>
      </c>
      <c r="AW32" t="s">
        <v>282</v>
      </c>
      <c r="AZ32" t="s">
        <v>282</v>
      </c>
      <c r="BC32" t="s">
        <v>282</v>
      </c>
      <c r="BE32" t="s">
        <v>282</v>
      </c>
      <c r="BF32" t="s">
        <v>282</v>
      </c>
      <c r="BG32" t="s">
        <v>282</v>
      </c>
      <c r="BH32" t="s">
        <v>282</v>
      </c>
    </row>
    <row r="33" spans="1:60" x14ac:dyDescent="0.3">
      <c r="A33" s="38" t="s">
        <v>217</v>
      </c>
      <c r="B33" s="38" t="s">
        <v>85</v>
      </c>
      <c r="C33" s="43" t="s">
        <v>218</v>
      </c>
      <c r="J33" t="s">
        <v>284</v>
      </c>
      <c r="Q33" s="34" t="s">
        <v>293</v>
      </c>
      <c r="S33" t="s">
        <v>284</v>
      </c>
      <c r="T33" t="s">
        <v>284</v>
      </c>
      <c r="U33" t="s">
        <v>284</v>
      </c>
      <c r="V33" t="s">
        <v>284</v>
      </c>
      <c r="X33" t="s">
        <v>284</v>
      </c>
      <c r="AA33" t="s">
        <v>284</v>
      </c>
      <c r="AE33" t="s">
        <v>284</v>
      </c>
      <c r="AG33" t="s">
        <v>284</v>
      </c>
      <c r="AH33" t="s">
        <v>284</v>
      </c>
      <c r="AJ33" t="s">
        <v>284</v>
      </c>
      <c r="AK33" t="s">
        <v>284</v>
      </c>
      <c r="AM33" t="s">
        <v>284</v>
      </c>
      <c r="AN33" t="s">
        <v>284</v>
      </c>
      <c r="AP33" t="s">
        <v>284</v>
      </c>
      <c r="AS33" t="s">
        <v>284</v>
      </c>
      <c r="AW33" t="s">
        <v>284</v>
      </c>
      <c r="AZ33" t="s">
        <v>284</v>
      </c>
      <c r="BC33" t="s">
        <v>284</v>
      </c>
      <c r="BE33" t="s">
        <v>284</v>
      </c>
      <c r="BF33" t="s">
        <v>284</v>
      </c>
      <c r="BG33" t="s">
        <v>284</v>
      </c>
      <c r="BH33" t="s">
        <v>284</v>
      </c>
    </row>
    <row r="34" spans="1:60" x14ac:dyDescent="0.3">
      <c r="A34" s="36" t="s">
        <v>323</v>
      </c>
      <c r="B34" s="38" t="s">
        <v>259</v>
      </c>
      <c r="C34" s="43" t="s">
        <v>324</v>
      </c>
      <c r="J34" t="s">
        <v>228</v>
      </c>
      <c r="Q34" s="33" t="s">
        <v>390</v>
      </c>
      <c r="S34" t="s">
        <v>228</v>
      </c>
      <c r="T34" t="s">
        <v>228</v>
      </c>
      <c r="U34" t="s">
        <v>228</v>
      </c>
      <c r="V34" t="s">
        <v>228</v>
      </c>
      <c r="X34" t="s">
        <v>228</v>
      </c>
      <c r="AA34" t="s">
        <v>228</v>
      </c>
      <c r="AE34" t="s">
        <v>228</v>
      </c>
      <c r="AG34" t="s">
        <v>228</v>
      </c>
      <c r="AH34" t="s">
        <v>228</v>
      </c>
      <c r="AJ34" t="s">
        <v>228</v>
      </c>
      <c r="AK34" t="s">
        <v>228</v>
      </c>
      <c r="AM34" t="s">
        <v>228</v>
      </c>
      <c r="AN34" t="s">
        <v>228</v>
      </c>
      <c r="AP34" t="s">
        <v>228</v>
      </c>
      <c r="AS34" t="s">
        <v>228</v>
      </c>
      <c r="AW34" t="s">
        <v>228</v>
      </c>
      <c r="AZ34" t="s">
        <v>228</v>
      </c>
      <c r="BC34" t="s">
        <v>228</v>
      </c>
      <c r="BE34" t="s">
        <v>228</v>
      </c>
      <c r="BF34" t="s">
        <v>228</v>
      </c>
      <c r="BG34" t="s">
        <v>228</v>
      </c>
      <c r="BH34" t="s">
        <v>228</v>
      </c>
    </row>
    <row r="35" spans="1:60" x14ac:dyDescent="0.3">
      <c r="A35" s="38" t="s">
        <v>325</v>
      </c>
      <c r="B35" s="38" t="s">
        <v>253</v>
      </c>
      <c r="C35" s="38" t="s">
        <v>326</v>
      </c>
      <c r="J35" t="s">
        <v>179</v>
      </c>
      <c r="Q35" s="34" t="s">
        <v>260</v>
      </c>
      <c r="S35" t="s">
        <v>179</v>
      </c>
      <c r="T35" t="s">
        <v>179</v>
      </c>
      <c r="U35" t="s">
        <v>179</v>
      </c>
      <c r="V35" t="s">
        <v>179</v>
      </c>
      <c r="X35" t="s">
        <v>179</v>
      </c>
      <c r="AA35" t="s">
        <v>179</v>
      </c>
      <c r="AE35" t="s">
        <v>179</v>
      </c>
      <c r="AG35" t="s">
        <v>179</v>
      </c>
      <c r="AH35" t="s">
        <v>179</v>
      </c>
      <c r="AJ35" t="s">
        <v>179</v>
      </c>
      <c r="AK35" t="s">
        <v>179</v>
      </c>
      <c r="AM35" t="s">
        <v>179</v>
      </c>
      <c r="AN35" t="s">
        <v>179</v>
      </c>
      <c r="AP35" t="s">
        <v>179</v>
      </c>
      <c r="AS35" t="s">
        <v>179</v>
      </c>
      <c r="AW35" t="s">
        <v>179</v>
      </c>
      <c r="AZ35" t="s">
        <v>179</v>
      </c>
      <c r="BC35" t="s">
        <v>179</v>
      </c>
      <c r="BE35" t="s">
        <v>179</v>
      </c>
      <c r="BF35" t="s">
        <v>179</v>
      </c>
      <c r="BG35" t="s">
        <v>179</v>
      </c>
      <c r="BH35" t="s">
        <v>179</v>
      </c>
    </row>
    <row r="36" spans="1:60" x14ac:dyDescent="0.3">
      <c r="A36" s="38" t="s">
        <v>65</v>
      </c>
      <c r="B36" s="38" t="s">
        <v>60</v>
      </c>
      <c r="C36" s="38" t="s">
        <v>66</v>
      </c>
      <c r="J36" t="s">
        <v>126</v>
      </c>
      <c r="Q36" s="34" t="s">
        <v>261</v>
      </c>
      <c r="S36" t="s">
        <v>126</v>
      </c>
      <c r="T36" t="s">
        <v>126</v>
      </c>
      <c r="U36" t="s">
        <v>126</v>
      </c>
      <c r="V36" t="s">
        <v>126</v>
      </c>
      <c r="X36" t="s">
        <v>126</v>
      </c>
      <c r="AA36" t="s">
        <v>126</v>
      </c>
      <c r="AE36" t="s">
        <v>126</v>
      </c>
      <c r="AG36" t="s">
        <v>126</v>
      </c>
      <c r="AH36" t="s">
        <v>126</v>
      </c>
      <c r="AJ36" t="s">
        <v>126</v>
      </c>
      <c r="AK36" t="s">
        <v>126</v>
      </c>
      <c r="AM36" t="s">
        <v>126</v>
      </c>
      <c r="AN36" t="s">
        <v>126</v>
      </c>
      <c r="AP36" t="s">
        <v>126</v>
      </c>
      <c r="AS36" t="s">
        <v>126</v>
      </c>
      <c r="AW36" t="s">
        <v>126</v>
      </c>
      <c r="AZ36" t="s">
        <v>126</v>
      </c>
      <c r="BC36" t="s">
        <v>126</v>
      </c>
      <c r="BE36" t="s">
        <v>126</v>
      </c>
      <c r="BF36" t="s">
        <v>126</v>
      </c>
      <c r="BG36" t="s">
        <v>126</v>
      </c>
      <c r="BH36" t="s">
        <v>126</v>
      </c>
    </row>
    <row r="37" spans="1:60" x14ac:dyDescent="0.3">
      <c r="A37" s="44" t="s">
        <v>220</v>
      </c>
      <c r="B37" s="43" t="s">
        <v>249</v>
      </c>
      <c r="C37" s="44" t="s">
        <v>221</v>
      </c>
      <c r="F37" s="3"/>
      <c r="J37" t="s">
        <v>127</v>
      </c>
      <c r="Q37" s="35" t="s">
        <v>262</v>
      </c>
      <c r="S37" t="s">
        <v>127</v>
      </c>
      <c r="T37" t="s">
        <v>127</v>
      </c>
      <c r="U37" t="s">
        <v>127</v>
      </c>
      <c r="V37" t="s">
        <v>127</v>
      </c>
      <c r="X37" t="s">
        <v>127</v>
      </c>
      <c r="AA37" t="s">
        <v>127</v>
      </c>
      <c r="AE37" t="s">
        <v>127</v>
      </c>
      <c r="AG37" t="s">
        <v>127</v>
      </c>
      <c r="AH37" t="s">
        <v>127</v>
      </c>
      <c r="AJ37" t="s">
        <v>127</v>
      </c>
      <c r="AK37" t="s">
        <v>127</v>
      </c>
      <c r="AM37" t="s">
        <v>127</v>
      </c>
      <c r="AN37" t="s">
        <v>127</v>
      </c>
      <c r="AP37" t="s">
        <v>127</v>
      </c>
      <c r="AS37" t="s">
        <v>127</v>
      </c>
      <c r="AW37" t="s">
        <v>127</v>
      </c>
      <c r="AZ37" t="s">
        <v>127</v>
      </c>
      <c r="BC37" t="s">
        <v>127</v>
      </c>
      <c r="BE37" t="s">
        <v>127</v>
      </c>
      <c r="BF37" t="s">
        <v>127</v>
      </c>
      <c r="BG37" t="s">
        <v>127</v>
      </c>
      <c r="BH37" t="s">
        <v>127</v>
      </c>
    </row>
    <row r="38" spans="1:60" x14ac:dyDescent="0.3">
      <c r="A38" s="36" t="s">
        <v>186</v>
      </c>
      <c r="B38" s="44" t="s">
        <v>254</v>
      </c>
      <c r="C38" s="36" t="s">
        <v>187</v>
      </c>
      <c r="F38" s="4"/>
      <c r="J38" t="s">
        <v>128</v>
      </c>
      <c r="Q38" t="s">
        <v>558</v>
      </c>
      <c r="S38" t="s">
        <v>128</v>
      </c>
      <c r="T38" t="s">
        <v>128</v>
      </c>
      <c r="U38" t="s">
        <v>128</v>
      </c>
      <c r="V38" t="s">
        <v>128</v>
      </c>
      <c r="X38" t="s">
        <v>128</v>
      </c>
      <c r="AA38" t="s">
        <v>128</v>
      </c>
      <c r="AE38" t="s">
        <v>128</v>
      </c>
      <c r="AG38" t="s">
        <v>128</v>
      </c>
      <c r="AH38" t="s">
        <v>128</v>
      </c>
      <c r="AJ38" t="s">
        <v>128</v>
      </c>
      <c r="AK38" t="s">
        <v>128</v>
      </c>
      <c r="AM38" t="s">
        <v>128</v>
      </c>
      <c r="AN38" t="s">
        <v>128</v>
      </c>
      <c r="AP38" t="s">
        <v>128</v>
      </c>
      <c r="AS38" t="s">
        <v>128</v>
      </c>
      <c r="AW38" t="s">
        <v>128</v>
      </c>
      <c r="AZ38" t="s">
        <v>128</v>
      </c>
      <c r="BC38" t="s">
        <v>128</v>
      </c>
      <c r="BE38" t="s">
        <v>128</v>
      </c>
      <c r="BF38" t="s">
        <v>128</v>
      </c>
      <c r="BG38" t="s">
        <v>128</v>
      </c>
      <c r="BH38" t="s">
        <v>128</v>
      </c>
    </row>
    <row r="39" spans="1:60" x14ac:dyDescent="0.3">
      <c r="A39" s="38" t="s">
        <v>434</v>
      </c>
      <c r="B39" s="38" t="s">
        <v>263</v>
      </c>
      <c r="C39" s="38" t="s">
        <v>435</v>
      </c>
      <c r="J39" t="s">
        <v>295</v>
      </c>
      <c r="Q39" t="s">
        <v>562</v>
      </c>
      <c r="S39" t="s">
        <v>295</v>
      </c>
      <c r="T39" t="s">
        <v>295</v>
      </c>
      <c r="U39" t="s">
        <v>295</v>
      </c>
      <c r="V39" t="s">
        <v>295</v>
      </c>
      <c r="X39" t="s">
        <v>295</v>
      </c>
      <c r="AA39" t="s">
        <v>295</v>
      </c>
      <c r="AE39" t="s">
        <v>295</v>
      </c>
      <c r="AG39" t="s">
        <v>295</v>
      </c>
      <c r="AH39" t="s">
        <v>295</v>
      </c>
      <c r="AJ39" t="s">
        <v>295</v>
      </c>
      <c r="AK39" t="s">
        <v>295</v>
      </c>
      <c r="AM39" t="s">
        <v>295</v>
      </c>
      <c r="AN39" t="s">
        <v>295</v>
      </c>
      <c r="AP39" t="s">
        <v>295</v>
      </c>
      <c r="AS39" t="s">
        <v>295</v>
      </c>
      <c r="AW39" t="s">
        <v>295</v>
      </c>
      <c r="AZ39" t="s">
        <v>295</v>
      </c>
      <c r="BC39" t="s">
        <v>295</v>
      </c>
      <c r="BE39" t="s">
        <v>295</v>
      </c>
      <c r="BF39" t="s">
        <v>295</v>
      </c>
      <c r="BG39" t="s">
        <v>295</v>
      </c>
      <c r="BH39" t="s">
        <v>295</v>
      </c>
    </row>
    <row r="40" spans="1:60" x14ac:dyDescent="0.3">
      <c r="A40" s="38" t="s">
        <v>471</v>
      </c>
      <c r="B40" s="38" t="s">
        <v>253</v>
      </c>
      <c r="C40" s="38" t="s">
        <v>472</v>
      </c>
      <c r="F40" s="3"/>
      <c r="J40" t="s">
        <v>176</v>
      </c>
      <c r="S40" t="s">
        <v>176</v>
      </c>
      <c r="T40" t="s">
        <v>176</v>
      </c>
      <c r="U40" t="s">
        <v>176</v>
      </c>
      <c r="V40" t="s">
        <v>176</v>
      </c>
      <c r="X40" t="s">
        <v>176</v>
      </c>
      <c r="AA40" t="s">
        <v>176</v>
      </c>
      <c r="AE40" t="s">
        <v>176</v>
      </c>
      <c r="AG40" t="s">
        <v>176</v>
      </c>
      <c r="AH40" t="s">
        <v>176</v>
      </c>
      <c r="AJ40" t="s">
        <v>176</v>
      </c>
      <c r="AK40" t="s">
        <v>176</v>
      </c>
      <c r="AM40" t="s">
        <v>176</v>
      </c>
      <c r="AN40" t="s">
        <v>176</v>
      </c>
      <c r="AP40" t="s">
        <v>176</v>
      </c>
      <c r="AS40" t="s">
        <v>176</v>
      </c>
      <c r="AW40" t="s">
        <v>176</v>
      </c>
      <c r="AZ40" t="s">
        <v>176</v>
      </c>
      <c r="BC40" t="s">
        <v>176</v>
      </c>
      <c r="BE40" t="s">
        <v>176</v>
      </c>
      <c r="BF40" t="s">
        <v>176</v>
      </c>
      <c r="BG40" t="s">
        <v>176</v>
      </c>
      <c r="BH40" t="s">
        <v>176</v>
      </c>
    </row>
    <row r="41" spans="1:60" x14ac:dyDescent="0.3">
      <c r="A41" s="38" t="s">
        <v>489</v>
      </c>
      <c r="B41" s="38" t="s">
        <v>253</v>
      </c>
      <c r="C41" s="38" t="s">
        <v>490</v>
      </c>
      <c r="J41" t="s">
        <v>296</v>
      </c>
      <c r="S41" t="s">
        <v>296</v>
      </c>
      <c r="T41" t="s">
        <v>296</v>
      </c>
      <c r="U41" t="s">
        <v>296</v>
      </c>
      <c r="V41" t="s">
        <v>296</v>
      </c>
      <c r="X41" t="s">
        <v>296</v>
      </c>
      <c r="AA41" t="s">
        <v>296</v>
      </c>
      <c r="AE41" t="s">
        <v>296</v>
      </c>
      <c r="AG41" t="s">
        <v>296</v>
      </c>
      <c r="AH41" t="s">
        <v>296</v>
      </c>
      <c r="AJ41" t="s">
        <v>296</v>
      </c>
      <c r="AK41" t="s">
        <v>296</v>
      </c>
      <c r="AM41" t="s">
        <v>296</v>
      </c>
      <c r="AN41" t="s">
        <v>296</v>
      </c>
      <c r="AP41" t="s">
        <v>296</v>
      </c>
      <c r="AS41" t="s">
        <v>296</v>
      </c>
      <c r="AW41" t="s">
        <v>296</v>
      </c>
      <c r="AZ41" t="s">
        <v>296</v>
      </c>
      <c r="BC41" t="s">
        <v>296</v>
      </c>
      <c r="BE41" t="s">
        <v>296</v>
      </c>
      <c r="BF41" t="s">
        <v>296</v>
      </c>
      <c r="BG41" t="s">
        <v>296</v>
      </c>
      <c r="BH41" t="s">
        <v>296</v>
      </c>
    </row>
    <row r="42" spans="1:60" x14ac:dyDescent="0.3">
      <c r="A42" s="38" t="s">
        <v>25</v>
      </c>
      <c r="B42" s="38" t="s">
        <v>253</v>
      </c>
      <c r="C42" s="38" t="s">
        <v>26</v>
      </c>
      <c r="G42" s="6"/>
      <c r="J42" t="s">
        <v>297</v>
      </c>
      <c r="S42" t="s">
        <v>297</v>
      </c>
      <c r="T42" t="s">
        <v>297</v>
      </c>
      <c r="U42" t="s">
        <v>297</v>
      </c>
      <c r="V42" t="s">
        <v>297</v>
      </c>
      <c r="X42" t="s">
        <v>297</v>
      </c>
      <c r="AA42" t="s">
        <v>297</v>
      </c>
      <c r="AE42" t="s">
        <v>297</v>
      </c>
      <c r="AG42" t="s">
        <v>297</v>
      </c>
      <c r="AH42" t="s">
        <v>297</v>
      </c>
      <c r="AJ42" t="s">
        <v>297</v>
      </c>
      <c r="AK42" t="s">
        <v>297</v>
      </c>
      <c r="AM42" t="s">
        <v>297</v>
      </c>
      <c r="AN42" t="s">
        <v>297</v>
      </c>
      <c r="AP42" t="s">
        <v>297</v>
      </c>
      <c r="AS42" t="s">
        <v>297</v>
      </c>
      <c r="AW42" t="s">
        <v>297</v>
      </c>
      <c r="AZ42" t="s">
        <v>297</v>
      </c>
      <c r="BC42" t="s">
        <v>297</v>
      </c>
      <c r="BE42" t="s">
        <v>297</v>
      </c>
      <c r="BF42" t="s">
        <v>297</v>
      </c>
      <c r="BG42" t="s">
        <v>297</v>
      </c>
      <c r="BH42" t="s">
        <v>297</v>
      </c>
    </row>
    <row r="43" spans="1:60" x14ac:dyDescent="0.3">
      <c r="A43" s="41" t="s">
        <v>67</v>
      </c>
      <c r="B43" s="43" t="s">
        <v>60</v>
      </c>
      <c r="C43" s="41" t="s">
        <v>68</v>
      </c>
      <c r="G43" s="6"/>
      <c r="J43" t="s">
        <v>298</v>
      </c>
      <c r="S43" t="s">
        <v>298</v>
      </c>
      <c r="T43" t="s">
        <v>298</v>
      </c>
      <c r="U43" t="s">
        <v>298</v>
      </c>
      <c r="V43" t="s">
        <v>298</v>
      </c>
      <c r="X43" t="s">
        <v>298</v>
      </c>
      <c r="AA43" t="s">
        <v>298</v>
      </c>
      <c r="AE43" t="s">
        <v>298</v>
      </c>
      <c r="AG43" t="s">
        <v>298</v>
      </c>
      <c r="AH43" t="s">
        <v>298</v>
      </c>
      <c r="AJ43" t="s">
        <v>298</v>
      </c>
      <c r="AK43" t="s">
        <v>298</v>
      </c>
      <c r="AM43" t="s">
        <v>298</v>
      </c>
      <c r="AN43" t="s">
        <v>298</v>
      </c>
      <c r="AP43" t="s">
        <v>298</v>
      </c>
      <c r="AS43" t="s">
        <v>298</v>
      </c>
      <c r="AW43" t="s">
        <v>298</v>
      </c>
      <c r="AZ43" t="s">
        <v>298</v>
      </c>
      <c r="BC43" t="s">
        <v>298</v>
      </c>
      <c r="BE43" t="s">
        <v>298</v>
      </c>
      <c r="BF43" t="s">
        <v>298</v>
      </c>
      <c r="BG43" t="s">
        <v>298</v>
      </c>
      <c r="BH43" t="s">
        <v>298</v>
      </c>
    </row>
    <row r="44" spans="1:60" x14ac:dyDescent="0.3">
      <c r="A44" s="38" t="s">
        <v>473</v>
      </c>
      <c r="B44" s="38" t="s">
        <v>253</v>
      </c>
      <c r="C44" s="38" t="s">
        <v>474</v>
      </c>
      <c r="J44" t="s">
        <v>287</v>
      </c>
      <c r="S44" t="s">
        <v>287</v>
      </c>
      <c r="T44" t="s">
        <v>287</v>
      </c>
      <c r="U44" t="s">
        <v>287</v>
      </c>
      <c r="V44" t="s">
        <v>287</v>
      </c>
      <c r="X44" t="s">
        <v>287</v>
      </c>
      <c r="AA44" t="s">
        <v>287</v>
      </c>
      <c r="AE44" t="s">
        <v>287</v>
      </c>
      <c r="AG44" t="s">
        <v>287</v>
      </c>
      <c r="AH44" t="s">
        <v>287</v>
      </c>
      <c r="AJ44" t="s">
        <v>287</v>
      </c>
      <c r="AK44" t="s">
        <v>287</v>
      </c>
      <c r="AM44" t="s">
        <v>287</v>
      </c>
      <c r="AN44" t="s">
        <v>287</v>
      </c>
      <c r="AP44" t="s">
        <v>287</v>
      </c>
      <c r="AS44" t="s">
        <v>287</v>
      </c>
      <c r="AW44" t="s">
        <v>287</v>
      </c>
      <c r="AZ44" t="s">
        <v>287</v>
      </c>
      <c r="BC44" t="s">
        <v>287</v>
      </c>
      <c r="BE44" t="s">
        <v>287</v>
      </c>
      <c r="BF44" t="s">
        <v>287</v>
      </c>
      <c r="BG44" t="s">
        <v>287</v>
      </c>
      <c r="BH44" t="s">
        <v>287</v>
      </c>
    </row>
    <row r="45" spans="1:60" x14ac:dyDescent="0.3">
      <c r="A45" s="38" t="s">
        <v>541</v>
      </c>
      <c r="B45" s="38" t="s">
        <v>254</v>
      </c>
      <c r="C45" s="38" t="s">
        <v>31</v>
      </c>
      <c r="J45" t="s">
        <v>299</v>
      </c>
      <c r="S45" t="s">
        <v>299</v>
      </c>
      <c r="T45" t="s">
        <v>299</v>
      </c>
      <c r="U45" t="s">
        <v>299</v>
      </c>
      <c r="V45" t="s">
        <v>299</v>
      </c>
      <c r="X45" t="s">
        <v>299</v>
      </c>
      <c r="AA45" t="s">
        <v>299</v>
      </c>
      <c r="AE45" t="s">
        <v>299</v>
      </c>
      <c r="AG45" t="s">
        <v>299</v>
      </c>
      <c r="AH45" t="s">
        <v>299</v>
      </c>
      <c r="AJ45" t="s">
        <v>299</v>
      </c>
      <c r="AK45" t="s">
        <v>299</v>
      </c>
      <c r="AM45" t="s">
        <v>299</v>
      </c>
      <c r="AN45" t="s">
        <v>299</v>
      </c>
      <c r="AP45" t="s">
        <v>299</v>
      </c>
      <c r="AS45" t="s">
        <v>299</v>
      </c>
      <c r="AW45" t="s">
        <v>299</v>
      </c>
      <c r="AZ45" t="s">
        <v>299</v>
      </c>
      <c r="BC45" t="s">
        <v>299</v>
      </c>
      <c r="BE45" t="s">
        <v>299</v>
      </c>
      <c r="BF45" t="s">
        <v>299</v>
      </c>
      <c r="BG45" t="s">
        <v>299</v>
      </c>
      <c r="BH45" t="s">
        <v>299</v>
      </c>
    </row>
    <row r="46" spans="1:60" x14ac:dyDescent="0.3">
      <c r="A46" s="45" t="s">
        <v>4</v>
      </c>
      <c r="B46" s="43" t="s">
        <v>248</v>
      </c>
      <c r="C46" s="38" t="s">
        <v>5</v>
      </c>
      <c r="J46" t="s">
        <v>227</v>
      </c>
      <c r="S46" t="s">
        <v>227</v>
      </c>
      <c r="T46" t="s">
        <v>227</v>
      </c>
      <c r="U46" t="s">
        <v>227</v>
      </c>
      <c r="V46" t="s">
        <v>227</v>
      </c>
      <c r="X46" t="s">
        <v>227</v>
      </c>
      <c r="AA46" t="s">
        <v>227</v>
      </c>
      <c r="AE46" t="s">
        <v>227</v>
      </c>
      <c r="AG46" t="s">
        <v>227</v>
      </c>
      <c r="AH46" t="s">
        <v>227</v>
      </c>
      <c r="AJ46" t="s">
        <v>227</v>
      </c>
      <c r="AK46" t="s">
        <v>227</v>
      </c>
      <c r="AM46" t="s">
        <v>227</v>
      </c>
      <c r="AN46" t="s">
        <v>227</v>
      </c>
      <c r="AP46" t="s">
        <v>227</v>
      </c>
      <c r="AS46" t="s">
        <v>227</v>
      </c>
      <c r="AW46" t="s">
        <v>227</v>
      </c>
      <c r="AZ46" t="s">
        <v>227</v>
      </c>
      <c r="BC46" t="s">
        <v>227</v>
      </c>
      <c r="BE46" t="s">
        <v>227</v>
      </c>
      <c r="BF46" t="s">
        <v>227</v>
      </c>
      <c r="BG46" t="s">
        <v>227</v>
      </c>
      <c r="BH46" t="s">
        <v>227</v>
      </c>
    </row>
    <row r="47" spans="1:60" x14ac:dyDescent="0.3">
      <c r="A47" s="45" t="s">
        <v>327</v>
      </c>
      <c r="B47" s="43" t="s">
        <v>259</v>
      </c>
      <c r="C47" s="38" t="s">
        <v>328</v>
      </c>
      <c r="J47" t="s">
        <v>288</v>
      </c>
      <c r="S47" t="s">
        <v>288</v>
      </c>
      <c r="T47" t="s">
        <v>288</v>
      </c>
      <c r="U47" t="s">
        <v>288</v>
      </c>
      <c r="V47" t="s">
        <v>288</v>
      </c>
      <c r="X47" t="s">
        <v>288</v>
      </c>
      <c r="AA47" t="s">
        <v>288</v>
      </c>
      <c r="AE47" t="s">
        <v>288</v>
      </c>
      <c r="AG47" t="s">
        <v>288</v>
      </c>
      <c r="AH47" t="s">
        <v>288</v>
      </c>
      <c r="AJ47" t="s">
        <v>288</v>
      </c>
      <c r="AK47" t="s">
        <v>288</v>
      </c>
      <c r="AM47" t="s">
        <v>288</v>
      </c>
      <c r="AN47" t="s">
        <v>288</v>
      </c>
      <c r="AP47" t="s">
        <v>288</v>
      </c>
      <c r="AS47" t="s">
        <v>288</v>
      </c>
      <c r="AW47" t="s">
        <v>288</v>
      </c>
      <c r="AZ47" t="s">
        <v>288</v>
      </c>
      <c r="BC47" t="s">
        <v>288</v>
      </c>
      <c r="BE47" t="s">
        <v>288</v>
      </c>
      <c r="BF47" t="s">
        <v>288</v>
      </c>
      <c r="BG47" t="s">
        <v>288</v>
      </c>
      <c r="BH47" t="s">
        <v>288</v>
      </c>
    </row>
    <row r="48" spans="1:60" x14ac:dyDescent="0.3">
      <c r="A48" s="38" t="s">
        <v>51</v>
      </c>
      <c r="B48" s="38" t="s">
        <v>255</v>
      </c>
      <c r="C48" s="38" t="s">
        <v>52</v>
      </c>
      <c r="J48" t="s">
        <v>131</v>
      </c>
      <c r="S48" t="s">
        <v>131</v>
      </c>
      <c r="T48" t="s">
        <v>131</v>
      </c>
      <c r="U48" t="s">
        <v>131</v>
      </c>
      <c r="V48" t="s">
        <v>131</v>
      </c>
      <c r="X48" t="s">
        <v>131</v>
      </c>
      <c r="AA48" t="s">
        <v>131</v>
      </c>
      <c r="AE48" t="s">
        <v>131</v>
      </c>
      <c r="AG48" t="s">
        <v>131</v>
      </c>
      <c r="AH48" t="s">
        <v>131</v>
      </c>
      <c r="AJ48" t="s">
        <v>131</v>
      </c>
      <c r="AK48" t="s">
        <v>131</v>
      </c>
      <c r="AM48" t="s">
        <v>131</v>
      </c>
      <c r="AN48" t="s">
        <v>131</v>
      </c>
      <c r="AP48" t="s">
        <v>131</v>
      </c>
      <c r="AS48" t="s">
        <v>131</v>
      </c>
      <c r="AW48" t="s">
        <v>131</v>
      </c>
      <c r="AZ48" t="s">
        <v>131</v>
      </c>
      <c r="BC48" t="s">
        <v>131</v>
      </c>
      <c r="BE48" t="s">
        <v>131</v>
      </c>
      <c r="BF48" t="s">
        <v>131</v>
      </c>
      <c r="BG48" t="s">
        <v>131</v>
      </c>
      <c r="BH48" t="s">
        <v>131</v>
      </c>
    </row>
    <row r="49" spans="1:60" x14ac:dyDescent="0.3">
      <c r="A49" s="45" t="s">
        <v>487</v>
      </c>
      <c r="B49" s="43" t="s">
        <v>254</v>
      </c>
      <c r="C49" s="45" t="s">
        <v>488</v>
      </c>
      <c r="G49" s="6"/>
      <c r="J49" t="s">
        <v>153</v>
      </c>
      <c r="S49" t="s">
        <v>153</v>
      </c>
      <c r="T49" t="s">
        <v>153</v>
      </c>
      <c r="U49" t="s">
        <v>153</v>
      </c>
      <c r="V49" t="s">
        <v>153</v>
      </c>
      <c r="X49" t="s">
        <v>153</v>
      </c>
      <c r="AA49" t="s">
        <v>153</v>
      </c>
      <c r="AE49" t="s">
        <v>153</v>
      </c>
      <c r="AG49" t="s">
        <v>153</v>
      </c>
      <c r="AH49" t="s">
        <v>153</v>
      </c>
      <c r="AJ49" t="s">
        <v>153</v>
      </c>
      <c r="AK49" t="s">
        <v>153</v>
      </c>
      <c r="AM49" t="s">
        <v>153</v>
      </c>
      <c r="AN49" t="s">
        <v>153</v>
      </c>
      <c r="AP49" t="s">
        <v>153</v>
      </c>
      <c r="AS49" t="s">
        <v>153</v>
      </c>
      <c r="AW49" t="s">
        <v>153</v>
      </c>
      <c r="AZ49" t="s">
        <v>153</v>
      </c>
      <c r="BC49" t="s">
        <v>153</v>
      </c>
      <c r="BE49" t="s">
        <v>153</v>
      </c>
      <c r="BF49" t="s">
        <v>153</v>
      </c>
      <c r="BG49" t="s">
        <v>153</v>
      </c>
      <c r="BH49" t="s">
        <v>153</v>
      </c>
    </row>
    <row r="50" spans="1:60" x14ac:dyDescent="0.3">
      <c r="A50" s="38" t="s">
        <v>6</v>
      </c>
      <c r="B50" s="38" t="s">
        <v>248</v>
      </c>
      <c r="C50" s="43" t="s">
        <v>5</v>
      </c>
      <c r="G50" s="6"/>
      <c r="J50" t="s">
        <v>132</v>
      </c>
      <c r="S50" t="s">
        <v>132</v>
      </c>
      <c r="T50" t="s">
        <v>132</v>
      </c>
      <c r="U50" t="s">
        <v>132</v>
      </c>
      <c r="V50" t="s">
        <v>132</v>
      </c>
      <c r="X50" t="s">
        <v>132</v>
      </c>
      <c r="AA50" t="s">
        <v>132</v>
      </c>
      <c r="AE50" t="s">
        <v>132</v>
      </c>
      <c r="AG50" t="s">
        <v>132</v>
      </c>
      <c r="AH50" t="s">
        <v>132</v>
      </c>
      <c r="AJ50" t="s">
        <v>132</v>
      </c>
      <c r="AK50" t="s">
        <v>132</v>
      </c>
      <c r="AM50" t="s">
        <v>132</v>
      </c>
      <c r="AN50" t="s">
        <v>132</v>
      </c>
      <c r="AP50" t="s">
        <v>132</v>
      </c>
      <c r="AS50" t="s">
        <v>132</v>
      </c>
      <c r="AW50" t="s">
        <v>132</v>
      </c>
      <c r="AZ50" t="s">
        <v>132</v>
      </c>
      <c r="BC50" t="s">
        <v>132</v>
      </c>
      <c r="BE50" t="s">
        <v>132</v>
      </c>
      <c r="BF50" t="s">
        <v>132</v>
      </c>
      <c r="BG50" t="s">
        <v>132</v>
      </c>
      <c r="BH50" t="s">
        <v>132</v>
      </c>
    </row>
    <row r="51" spans="1:60" x14ac:dyDescent="0.3">
      <c r="A51" s="38" t="s">
        <v>329</v>
      </c>
      <c r="B51" s="38" t="s">
        <v>264</v>
      </c>
      <c r="C51" s="43" t="s">
        <v>330</v>
      </c>
      <c r="J51" t="s">
        <v>300</v>
      </c>
      <c r="S51" t="s">
        <v>300</v>
      </c>
      <c r="T51" t="s">
        <v>300</v>
      </c>
      <c r="U51" t="s">
        <v>300</v>
      </c>
      <c r="V51" t="s">
        <v>300</v>
      </c>
      <c r="X51" t="s">
        <v>300</v>
      </c>
      <c r="AA51" t="s">
        <v>300</v>
      </c>
      <c r="AE51" t="s">
        <v>300</v>
      </c>
      <c r="AG51" t="s">
        <v>300</v>
      </c>
      <c r="AH51" t="s">
        <v>300</v>
      </c>
      <c r="AJ51" t="s">
        <v>300</v>
      </c>
      <c r="AK51" t="s">
        <v>300</v>
      </c>
      <c r="AM51" t="s">
        <v>300</v>
      </c>
      <c r="AN51" t="s">
        <v>300</v>
      </c>
      <c r="AP51" t="s">
        <v>300</v>
      </c>
      <c r="AS51" t="s">
        <v>300</v>
      </c>
      <c r="AW51" t="s">
        <v>300</v>
      </c>
      <c r="AZ51" t="s">
        <v>300</v>
      </c>
      <c r="BC51" t="s">
        <v>300</v>
      </c>
      <c r="BE51" t="s">
        <v>300</v>
      </c>
      <c r="BF51" t="s">
        <v>300</v>
      </c>
      <c r="BG51" t="s">
        <v>300</v>
      </c>
      <c r="BH51" t="s">
        <v>300</v>
      </c>
    </row>
    <row r="52" spans="1:60" x14ac:dyDescent="0.3">
      <c r="A52" s="38" t="s">
        <v>69</v>
      </c>
      <c r="B52" s="38" t="s">
        <v>60</v>
      </c>
      <c r="C52" s="38" t="s">
        <v>70</v>
      </c>
      <c r="J52" t="s">
        <v>301</v>
      </c>
      <c r="S52" t="s">
        <v>301</v>
      </c>
      <c r="T52" t="s">
        <v>301</v>
      </c>
      <c r="U52" t="s">
        <v>301</v>
      </c>
      <c r="V52" t="s">
        <v>301</v>
      </c>
      <c r="X52" t="s">
        <v>301</v>
      </c>
      <c r="AA52" t="s">
        <v>301</v>
      </c>
      <c r="AE52" t="s">
        <v>301</v>
      </c>
      <c r="AG52" t="s">
        <v>301</v>
      </c>
      <c r="AH52" t="s">
        <v>301</v>
      </c>
      <c r="AJ52" t="s">
        <v>301</v>
      </c>
      <c r="AK52" t="s">
        <v>301</v>
      </c>
      <c r="AM52" t="s">
        <v>301</v>
      </c>
      <c r="AN52" t="s">
        <v>301</v>
      </c>
      <c r="AP52" t="s">
        <v>301</v>
      </c>
      <c r="AS52" t="s">
        <v>301</v>
      </c>
      <c r="AW52" t="s">
        <v>301</v>
      </c>
      <c r="AZ52" t="s">
        <v>301</v>
      </c>
      <c r="BC52" t="s">
        <v>301</v>
      </c>
      <c r="BE52" t="s">
        <v>301</v>
      </c>
      <c r="BF52" t="s">
        <v>301</v>
      </c>
      <c r="BG52" t="s">
        <v>301</v>
      </c>
      <c r="BH52" t="s">
        <v>301</v>
      </c>
    </row>
    <row r="53" spans="1:60" x14ac:dyDescent="0.3">
      <c r="A53" s="38" t="s">
        <v>188</v>
      </c>
      <c r="B53" s="38" t="s">
        <v>248</v>
      </c>
      <c r="C53" s="38" t="s">
        <v>101</v>
      </c>
      <c r="F53" s="2"/>
      <c r="G53" s="6"/>
      <c r="J53" t="s">
        <v>152</v>
      </c>
      <c r="S53" t="s">
        <v>152</v>
      </c>
      <c r="T53" t="s">
        <v>152</v>
      </c>
      <c r="U53" t="s">
        <v>152</v>
      </c>
      <c r="V53" t="s">
        <v>152</v>
      </c>
      <c r="X53" t="s">
        <v>152</v>
      </c>
      <c r="AA53" t="s">
        <v>152</v>
      </c>
      <c r="AE53" t="s">
        <v>152</v>
      </c>
      <c r="AG53" t="s">
        <v>152</v>
      </c>
      <c r="AH53" t="s">
        <v>152</v>
      </c>
      <c r="AJ53" t="s">
        <v>152</v>
      </c>
      <c r="AK53" t="s">
        <v>152</v>
      </c>
      <c r="AM53" t="s">
        <v>152</v>
      </c>
      <c r="AN53" t="s">
        <v>152</v>
      </c>
      <c r="AP53" t="s">
        <v>152</v>
      </c>
      <c r="AS53" t="s">
        <v>152</v>
      </c>
      <c r="AW53" t="s">
        <v>152</v>
      </c>
      <c r="AZ53" t="s">
        <v>152</v>
      </c>
      <c r="BC53" t="s">
        <v>152</v>
      </c>
      <c r="BE53" t="s">
        <v>152</v>
      </c>
      <c r="BF53" t="s">
        <v>152</v>
      </c>
      <c r="BG53" t="s">
        <v>152</v>
      </c>
      <c r="BH53" t="s">
        <v>152</v>
      </c>
    </row>
    <row r="54" spans="1:60" x14ac:dyDescent="0.3">
      <c r="A54" s="38" t="s">
        <v>495</v>
      </c>
      <c r="B54" s="38" t="s">
        <v>248</v>
      </c>
      <c r="C54" s="38" t="s">
        <v>101</v>
      </c>
      <c r="J54" t="s">
        <v>289</v>
      </c>
      <c r="S54" t="s">
        <v>289</v>
      </c>
      <c r="T54" t="s">
        <v>289</v>
      </c>
      <c r="U54" t="s">
        <v>289</v>
      </c>
      <c r="V54" t="s">
        <v>289</v>
      </c>
      <c r="X54" t="s">
        <v>289</v>
      </c>
      <c r="AA54" t="s">
        <v>289</v>
      </c>
      <c r="AE54" t="s">
        <v>289</v>
      </c>
      <c r="AG54" t="s">
        <v>289</v>
      </c>
      <c r="AH54" t="s">
        <v>289</v>
      </c>
      <c r="AJ54" t="s">
        <v>289</v>
      </c>
      <c r="AK54" t="s">
        <v>289</v>
      </c>
      <c r="AM54" t="s">
        <v>289</v>
      </c>
      <c r="AN54" t="s">
        <v>289</v>
      </c>
      <c r="AP54" t="s">
        <v>289</v>
      </c>
      <c r="AS54" t="s">
        <v>289</v>
      </c>
      <c r="AW54" t="s">
        <v>289</v>
      </c>
      <c r="AZ54" t="s">
        <v>289</v>
      </c>
      <c r="BC54" t="s">
        <v>289</v>
      </c>
      <c r="BE54" t="s">
        <v>289</v>
      </c>
      <c r="BF54" t="s">
        <v>289</v>
      </c>
      <c r="BG54" t="s">
        <v>289</v>
      </c>
      <c r="BH54" t="s">
        <v>289</v>
      </c>
    </row>
    <row r="55" spans="1:60" x14ac:dyDescent="0.3">
      <c r="A55" s="38" t="s">
        <v>431</v>
      </c>
      <c r="B55" s="38" t="s">
        <v>433</v>
      </c>
      <c r="C55" s="38" t="s">
        <v>432</v>
      </c>
      <c r="F55" s="5"/>
      <c r="J55" t="s">
        <v>302</v>
      </c>
      <c r="S55" t="s">
        <v>302</v>
      </c>
      <c r="T55" t="s">
        <v>302</v>
      </c>
      <c r="U55" t="s">
        <v>302</v>
      </c>
      <c r="V55" t="s">
        <v>302</v>
      </c>
      <c r="X55" t="s">
        <v>302</v>
      </c>
      <c r="AA55" t="s">
        <v>302</v>
      </c>
      <c r="AE55" t="s">
        <v>302</v>
      </c>
      <c r="AG55" t="s">
        <v>302</v>
      </c>
      <c r="AH55" t="s">
        <v>302</v>
      </c>
      <c r="AJ55" t="s">
        <v>302</v>
      </c>
      <c r="AK55" t="s">
        <v>302</v>
      </c>
      <c r="AM55" t="s">
        <v>302</v>
      </c>
      <c r="AN55" t="s">
        <v>302</v>
      </c>
      <c r="AP55" t="s">
        <v>302</v>
      </c>
      <c r="AS55" t="s">
        <v>302</v>
      </c>
      <c r="AW55" t="s">
        <v>302</v>
      </c>
      <c r="AZ55" t="s">
        <v>302</v>
      </c>
      <c r="BC55" t="s">
        <v>302</v>
      </c>
      <c r="BE55" t="s">
        <v>302</v>
      </c>
      <c r="BF55" t="s">
        <v>302</v>
      </c>
      <c r="BG55" t="s">
        <v>302</v>
      </c>
      <c r="BH55" t="s">
        <v>302</v>
      </c>
    </row>
    <row r="56" spans="1:60" x14ac:dyDescent="0.3">
      <c r="A56" s="38" t="s">
        <v>225</v>
      </c>
      <c r="B56" s="38" t="s">
        <v>60</v>
      </c>
      <c r="C56" s="38" t="s">
        <v>226</v>
      </c>
      <c r="F56" s="5"/>
      <c r="J56" t="s">
        <v>303</v>
      </c>
      <c r="S56" t="s">
        <v>303</v>
      </c>
      <c r="T56" t="s">
        <v>303</v>
      </c>
      <c r="U56" t="s">
        <v>303</v>
      </c>
      <c r="V56" t="s">
        <v>303</v>
      </c>
      <c r="X56" t="s">
        <v>303</v>
      </c>
      <c r="AA56" t="s">
        <v>303</v>
      </c>
      <c r="AE56" t="s">
        <v>303</v>
      </c>
      <c r="AG56" t="s">
        <v>303</v>
      </c>
      <c r="AH56" t="s">
        <v>303</v>
      </c>
      <c r="AJ56" t="s">
        <v>303</v>
      </c>
      <c r="AK56" t="s">
        <v>303</v>
      </c>
      <c r="AM56" t="s">
        <v>303</v>
      </c>
      <c r="AN56" t="s">
        <v>303</v>
      </c>
      <c r="AP56" t="s">
        <v>303</v>
      </c>
      <c r="AS56" t="s">
        <v>303</v>
      </c>
      <c r="AW56" t="s">
        <v>303</v>
      </c>
      <c r="AZ56" t="s">
        <v>303</v>
      </c>
      <c r="BC56" t="s">
        <v>303</v>
      </c>
      <c r="BE56" t="s">
        <v>303</v>
      </c>
      <c r="BF56" t="s">
        <v>303</v>
      </c>
      <c r="BG56" t="s">
        <v>303</v>
      </c>
      <c r="BH56" t="s">
        <v>303</v>
      </c>
    </row>
    <row r="57" spans="1:60" x14ac:dyDescent="0.3">
      <c r="A57" s="36" t="s">
        <v>32</v>
      </c>
      <c r="B57" s="38" t="s">
        <v>254</v>
      </c>
      <c r="C57" s="36" t="s">
        <v>33</v>
      </c>
      <c r="F57" s="2"/>
      <c r="J57" t="s">
        <v>290</v>
      </c>
      <c r="S57" t="s">
        <v>290</v>
      </c>
      <c r="T57" t="s">
        <v>290</v>
      </c>
      <c r="U57" t="s">
        <v>290</v>
      </c>
      <c r="V57" t="s">
        <v>290</v>
      </c>
      <c r="X57" t="s">
        <v>290</v>
      </c>
      <c r="AA57" t="s">
        <v>290</v>
      </c>
      <c r="AE57" t="s">
        <v>290</v>
      </c>
      <c r="AG57" t="s">
        <v>290</v>
      </c>
      <c r="AH57" t="s">
        <v>290</v>
      </c>
      <c r="AJ57" t="s">
        <v>290</v>
      </c>
      <c r="AK57" t="s">
        <v>290</v>
      </c>
      <c r="AM57" t="s">
        <v>290</v>
      </c>
      <c r="AN57" t="s">
        <v>290</v>
      </c>
      <c r="AP57" t="s">
        <v>290</v>
      </c>
      <c r="AS57" t="s">
        <v>290</v>
      </c>
      <c r="AW57" t="s">
        <v>290</v>
      </c>
      <c r="AZ57" t="s">
        <v>290</v>
      </c>
      <c r="BC57" t="s">
        <v>290</v>
      </c>
      <c r="BE57" t="s">
        <v>290</v>
      </c>
      <c r="BF57" t="s">
        <v>290</v>
      </c>
      <c r="BG57" t="s">
        <v>290</v>
      </c>
      <c r="BH57" t="s">
        <v>290</v>
      </c>
    </row>
    <row r="58" spans="1:60" x14ac:dyDescent="0.3">
      <c r="A58" s="44" t="s">
        <v>331</v>
      </c>
      <c r="B58" s="44" t="s">
        <v>254</v>
      </c>
      <c r="C58" s="44" t="s">
        <v>332</v>
      </c>
      <c r="F58" s="5"/>
    </row>
    <row r="59" spans="1:60" x14ac:dyDescent="0.3">
      <c r="A59" s="38" t="s">
        <v>333</v>
      </c>
      <c r="B59" s="38" t="s">
        <v>254</v>
      </c>
      <c r="C59" s="43" t="s">
        <v>334</v>
      </c>
      <c r="F59" s="5"/>
      <c r="Q59" s="48"/>
    </row>
    <row r="60" spans="1:60" x14ac:dyDescent="0.3">
      <c r="A60" s="38" t="s">
        <v>86</v>
      </c>
      <c r="B60" s="38" t="s">
        <v>85</v>
      </c>
      <c r="C60" s="38" t="s">
        <v>87</v>
      </c>
      <c r="F60" s="5"/>
      <c r="Q60" s="49"/>
    </row>
    <row r="61" spans="1:60" x14ac:dyDescent="0.3">
      <c r="A61" s="46" t="s">
        <v>482</v>
      </c>
      <c r="B61" s="43" t="s">
        <v>248</v>
      </c>
      <c r="C61" s="38" t="s">
        <v>101</v>
      </c>
      <c r="F61" s="5"/>
      <c r="Q61" s="49"/>
    </row>
    <row r="62" spans="1:60" x14ac:dyDescent="0.3">
      <c r="A62" s="45" t="s">
        <v>229</v>
      </c>
      <c r="B62" s="43" t="s">
        <v>60</v>
      </c>
      <c r="C62" s="38" t="s">
        <v>230</v>
      </c>
      <c r="F62" s="2"/>
      <c r="Q62" s="49"/>
    </row>
    <row r="63" spans="1:60" x14ac:dyDescent="0.3">
      <c r="A63" s="34" t="s">
        <v>548</v>
      </c>
      <c r="B63" s="34" t="s">
        <v>264</v>
      </c>
      <c r="C63" s="34" t="s">
        <v>549</v>
      </c>
      <c r="F63" s="2"/>
      <c r="Q63" s="49"/>
    </row>
    <row r="64" spans="1:60" x14ac:dyDescent="0.3">
      <c r="A64" s="34" t="s">
        <v>571</v>
      </c>
      <c r="B64" s="34" t="s">
        <v>562</v>
      </c>
      <c r="C64" s="34" t="s">
        <v>572</v>
      </c>
      <c r="F64" s="2"/>
      <c r="Q64" s="49"/>
    </row>
    <row r="65" spans="1:17" x14ac:dyDescent="0.3">
      <c r="A65" s="38" t="s">
        <v>34</v>
      </c>
      <c r="B65" s="38" t="s">
        <v>254</v>
      </c>
      <c r="C65" s="38" t="s">
        <v>35</v>
      </c>
      <c r="F65" s="2"/>
      <c r="Q65" s="49"/>
    </row>
    <row r="66" spans="1:17" x14ac:dyDescent="0.3">
      <c r="A66" s="38" t="s">
        <v>422</v>
      </c>
      <c r="B66" s="38" t="s">
        <v>253</v>
      </c>
      <c r="C66" s="38" t="s">
        <v>423</v>
      </c>
      <c r="Q66" s="49"/>
    </row>
    <row r="67" spans="1:17" x14ac:dyDescent="0.3">
      <c r="A67" s="38" t="s">
        <v>335</v>
      </c>
      <c r="B67" s="38" t="s">
        <v>85</v>
      </c>
      <c r="C67" s="38" t="s">
        <v>336</v>
      </c>
      <c r="F67" s="2"/>
      <c r="Q67" s="49"/>
    </row>
    <row r="68" spans="1:17" x14ac:dyDescent="0.3">
      <c r="A68" s="38" t="s">
        <v>443</v>
      </c>
      <c r="B68" s="38" t="s">
        <v>444</v>
      </c>
      <c r="C68" s="38" t="s">
        <v>445</v>
      </c>
      <c r="F68" s="2"/>
      <c r="Q68" s="49"/>
    </row>
    <row r="69" spans="1:17" x14ac:dyDescent="0.3">
      <c r="A69" s="44" t="s">
        <v>450</v>
      </c>
      <c r="B69" s="38" t="s">
        <v>248</v>
      </c>
      <c r="C69" s="44" t="s">
        <v>101</v>
      </c>
      <c r="F69" s="2"/>
      <c r="Q69" s="49"/>
    </row>
    <row r="70" spans="1:17" x14ac:dyDescent="0.3">
      <c r="A70" s="36" t="s">
        <v>426</v>
      </c>
      <c r="B70" s="43" t="s">
        <v>85</v>
      </c>
      <c r="C70" s="36" t="s">
        <v>427</v>
      </c>
      <c r="F70" s="2"/>
      <c r="Q70" s="49"/>
    </row>
    <row r="71" spans="1:17" x14ac:dyDescent="0.3">
      <c r="A71" s="38" t="s">
        <v>71</v>
      </c>
      <c r="B71" s="38" t="s">
        <v>60</v>
      </c>
      <c r="C71" s="43" t="s">
        <v>110</v>
      </c>
      <c r="F71" s="2"/>
      <c r="Q71" s="49"/>
    </row>
    <row r="72" spans="1:17" x14ac:dyDescent="0.3">
      <c r="A72" s="38" t="s">
        <v>337</v>
      </c>
      <c r="B72" s="38" t="s">
        <v>85</v>
      </c>
      <c r="C72" s="38" t="s">
        <v>338</v>
      </c>
      <c r="F72" s="2"/>
      <c r="Q72" s="49"/>
    </row>
    <row r="73" spans="1:17" x14ac:dyDescent="0.3">
      <c r="A73" s="38" t="s">
        <v>446</v>
      </c>
      <c r="B73" s="38" t="s">
        <v>447</v>
      </c>
      <c r="C73" s="38" t="s">
        <v>448</v>
      </c>
      <c r="F73" s="2"/>
      <c r="Q73" s="49"/>
    </row>
    <row r="74" spans="1:17" x14ac:dyDescent="0.3">
      <c r="A74" s="38" t="s">
        <v>339</v>
      </c>
      <c r="B74" s="38" t="s">
        <v>265</v>
      </c>
      <c r="C74" s="38" t="s">
        <v>340</v>
      </c>
      <c r="F74" s="2"/>
      <c r="Q74" s="49"/>
    </row>
    <row r="75" spans="1:17" x14ac:dyDescent="0.3">
      <c r="A75" s="38" t="s">
        <v>491</v>
      </c>
      <c r="B75" s="38" t="s">
        <v>248</v>
      </c>
      <c r="C75" s="38" t="s">
        <v>101</v>
      </c>
      <c r="F75" s="2"/>
      <c r="Q75" s="49"/>
    </row>
    <row r="76" spans="1:17" x14ac:dyDescent="0.3">
      <c r="A76" s="38" t="s">
        <v>341</v>
      </c>
      <c r="B76" s="38" t="s">
        <v>406</v>
      </c>
      <c r="C76" s="38" t="s">
        <v>439</v>
      </c>
      <c r="F76" s="2"/>
      <c r="Q76" s="49"/>
    </row>
    <row r="77" spans="1:17" x14ac:dyDescent="0.3">
      <c r="A77" s="34" t="s">
        <v>550</v>
      </c>
      <c r="B77" s="34" t="s">
        <v>85</v>
      </c>
      <c r="C77" s="34" t="s">
        <v>551</v>
      </c>
      <c r="F77" s="2"/>
      <c r="Q77" s="49"/>
    </row>
    <row r="78" spans="1:17" x14ac:dyDescent="0.3">
      <c r="A78" s="45" t="s">
        <v>449</v>
      </c>
      <c r="B78" s="43" t="s">
        <v>268</v>
      </c>
      <c r="C78" s="38" t="s">
        <v>310</v>
      </c>
      <c r="F78" s="2"/>
      <c r="Q78" s="49"/>
    </row>
    <row r="79" spans="1:17" x14ac:dyDescent="0.3">
      <c r="A79" s="45" t="s">
        <v>95</v>
      </c>
      <c r="B79" s="43" t="s">
        <v>253</v>
      </c>
      <c r="C79" s="38" t="s">
        <v>96</v>
      </c>
      <c r="F79" s="2"/>
      <c r="Q79" s="49"/>
    </row>
    <row r="80" spans="1:17" x14ac:dyDescent="0.3">
      <c r="A80" s="38" t="s">
        <v>189</v>
      </c>
      <c r="B80" s="38" t="s">
        <v>254</v>
      </c>
      <c r="C80" s="38" t="s">
        <v>190</v>
      </c>
      <c r="F80" s="2"/>
      <c r="Q80" s="49"/>
    </row>
    <row r="81" spans="1:17" x14ac:dyDescent="0.3">
      <c r="A81" s="38" t="s">
        <v>342</v>
      </c>
      <c r="B81" s="38" t="s">
        <v>254</v>
      </c>
      <c r="C81" s="38" t="s">
        <v>343</v>
      </c>
      <c r="F81" s="2"/>
      <c r="Q81" s="49"/>
    </row>
    <row r="82" spans="1:17" x14ac:dyDescent="0.3">
      <c r="A82" s="38" t="s">
        <v>344</v>
      </c>
      <c r="B82" s="38" t="s">
        <v>253</v>
      </c>
      <c r="C82" s="38" t="s">
        <v>345</v>
      </c>
      <c r="F82" s="2"/>
      <c r="Q82" s="49"/>
    </row>
    <row r="83" spans="1:17" x14ac:dyDescent="0.3">
      <c r="A83" s="38" t="s">
        <v>430</v>
      </c>
      <c r="B83" s="38" t="s">
        <v>248</v>
      </c>
      <c r="C83" s="38" t="s">
        <v>101</v>
      </c>
      <c r="F83" s="2"/>
      <c r="Q83" s="49"/>
    </row>
    <row r="84" spans="1:17" x14ac:dyDescent="0.3">
      <c r="A84" s="38" t="s">
        <v>430</v>
      </c>
      <c r="B84" s="38" t="s">
        <v>248</v>
      </c>
      <c r="C84" s="43" t="s">
        <v>101</v>
      </c>
      <c r="F84" s="2"/>
      <c r="Q84" s="49"/>
    </row>
    <row r="85" spans="1:17" x14ac:dyDescent="0.3">
      <c r="A85" s="36" t="s">
        <v>412</v>
      </c>
      <c r="B85" s="44" t="s">
        <v>398</v>
      </c>
      <c r="C85" s="36" t="s">
        <v>413</v>
      </c>
      <c r="F85" s="2"/>
      <c r="Q85" s="49"/>
    </row>
    <row r="86" spans="1:17" x14ac:dyDescent="0.3">
      <c r="A86" s="38" t="s">
        <v>346</v>
      </c>
      <c r="B86" s="38" t="s">
        <v>263</v>
      </c>
      <c r="C86" s="43" t="s">
        <v>347</v>
      </c>
      <c r="F86" s="2"/>
      <c r="Q86" s="49"/>
    </row>
    <row r="87" spans="1:17" x14ac:dyDescent="0.3">
      <c r="A87" s="41" t="s">
        <v>36</v>
      </c>
      <c r="B87" s="43" t="s">
        <v>254</v>
      </c>
      <c r="C87" s="41" t="s">
        <v>37</v>
      </c>
      <c r="F87" s="2"/>
      <c r="Q87" s="49"/>
    </row>
    <row r="88" spans="1:17" x14ac:dyDescent="0.3">
      <c r="A88" s="38" t="s">
        <v>38</v>
      </c>
      <c r="B88" s="38" t="s">
        <v>254</v>
      </c>
      <c r="C88" s="43" t="s">
        <v>39</v>
      </c>
      <c r="F88" s="2"/>
      <c r="Q88" s="49"/>
    </row>
    <row r="89" spans="1:17" x14ac:dyDescent="0.3">
      <c r="A89" s="34" t="s">
        <v>556</v>
      </c>
      <c r="B89" s="34" t="s">
        <v>558</v>
      </c>
      <c r="C89" s="34" t="s">
        <v>557</v>
      </c>
      <c r="F89" s="2"/>
      <c r="Q89" s="49"/>
    </row>
    <row r="90" spans="1:17" x14ac:dyDescent="0.3">
      <c r="A90" s="38" t="s">
        <v>40</v>
      </c>
      <c r="B90" s="38" t="s">
        <v>254</v>
      </c>
      <c r="C90" s="43" t="s">
        <v>39</v>
      </c>
      <c r="F90" s="2"/>
      <c r="Q90" s="49"/>
    </row>
    <row r="91" spans="1:17" x14ac:dyDescent="0.3">
      <c r="A91" s="44" t="s">
        <v>348</v>
      </c>
      <c r="B91" s="45" t="s">
        <v>263</v>
      </c>
      <c r="C91" s="44" t="s">
        <v>349</v>
      </c>
      <c r="F91" s="2"/>
      <c r="Q91" s="49"/>
    </row>
    <row r="92" spans="1:17" x14ac:dyDescent="0.3">
      <c r="A92" s="38" t="s">
        <v>191</v>
      </c>
      <c r="B92" s="38" t="s">
        <v>60</v>
      </c>
      <c r="C92" s="38" t="s">
        <v>192</v>
      </c>
      <c r="F92" s="2"/>
      <c r="Q92" s="49"/>
    </row>
    <row r="93" spans="1:17" x14ac:dyDescent="0.3">
      <c r="A93" s="38" t="s">
        <v>492</v>
      </c>
      <c r="B93" s="38" t="s">
        <v>85</v>
      </c>
      <c r="C93" s="38" t="s">
        <v>493</v>
      </c>
      <c r="F93" s="2"/>
      <c r="Q93" s="49"/>
    </row>
    <row r="94" spans="1:17" x14ac:dyDescent="0.3">
      <c r="A94" s="38" t="s">
        <v>231</v>
      </c>
      <c r="B94" s="38" t="s">
        <v>251</v>
      </c>
      <c r="C94" s="38" t="s">
        <v>232</v>
      </c>
      <c r="F94" s="2"/>
    </row>
    <row r="95" spans="1:17" x14ac:dyDescent="0.3">
      <c r="A95" s="38" t="s">
        <v>440</v>
      </c>
      <c r="B95" s="38" t="s">
        <v>441</v>
      </c>
      <c r="C95" s="38" t="s">
        <v>442</v>
      </c>
      <c r="F95" s="2"/>
    </row>
    <row r="96" spans="1:17" x14ac:dyDescent="0.3">
      <c r="A96" s="38" t="s">
        <v>395</v>
      </c>
      <c r="B96" s="38" t="s">
        <v>259</v>
      </c>
      <c r="C96" s="43" t="s">
        <v>396</v>
      </c>
      <c r="F96" s="2"/>
    </row>
    <row r="97" spans="1:6" x14ac:dyDescent="0.3">
      <c r="A97" s="38" t="s">
        <v>542</v>
      </c>
      <c r="B97" s="38" t="s">
        <v>543</v>
      </c>
      <c r="C97" s="38" t="s">
        <v>544</v>
      </c>
      <c r="F97" s="2"/>
    </row>
    <row r="98" spans="1:6" x14ac:dyDescent="0.3">
      <c r="A98" s="38" t="s">
        <v>7</v>
      </c>
      <c r="B98" s="38" t="s">
        <v>248</v>
      </c>
      <c r="C98" s="38" t="s">
        <v>5</v>
      </c>
      <c r="F98" s="2"/>
    </row>
    <row r="99" spans="1:6" x14ac:dyDescent="0.3">
      <c r="A99" s="45" t="s">
        <v>8</v>
      </c>
      <c r="B99" s="43" t="s">
        <v>248</v>
      </c>
      <c r="C99" s="38" t="s">
        <v>5</v>
      </c>
      <c r="F99" s="2"/>
    </row>
    <row r="100" spans="1:6" x14ac:dyDescent="0.3">
      <c r="A100" s="38" t="s">
        <v>173</v>
      </c>
      <c r="B100" s="38" t="s">
        <v>256</v>
      </c>
      <c r="C100" s="38" t="s">
        <v>174</v>
      </c>
      <c r="F100" s="2"/>
    </row>
    <row r="101" spans="1:6" x14ac:dyDescent="0.3">
      <c r="A101" s="38" t="s">
        <v>350</v>
      </c>
      <c r="B101" s="38" t="s">
        <v>85</v>
      </c>
      <c r="C101" s="38" t="s">
        <v>351</v>
      </c>
      <c r="F101" s="2"/>
    </row>
    <row r="102" spans="1:6" x14ac:dyDescent="0.3">
      <c r="A102" s="38" t="s">
        <v>464</v>
      </c>
      <c r="B102" s="38" t="s">
        <v>262</v>
      </c>
      <c r="C102" s="38" t="s">
        <v>465</v>
      </c>
      <c r="F102" s="2"/>
    </row>
    <row r="103" spans="1:6" x14ac:dyDescent="0.3">
      <c r="A103" s="44" t="s">
        <v>72</v>
      </c>
      <c r="B103" s="38" t="s">
        <v>60</v>
      </c>
      <c r="C103" s="44" t="s">
        <v>73</v>
      </c>
      <c r="F103" s="2"/>
    </row>
    <row r="104" spans="1:6" x14ac:dyDescent="0.3">
      <c r="A104" s="41" t="s">
        <v>56</v>
      </c>
      <c r="B104" s="43" t="s">
        <v>55</v>
      </c>
      <c r="C104" s="41" t="s">
        <v>57</v>
      </c>
      <c r="F104" s="2"/>
    </row>
    <row r="105" spans="1:6" x14ac:dyDescent="0.3">
      <c r="A105" s="38" t="s">
        <v>352</v>
      </c>
      <c r="B105" s="38" t="s">
        <v>264</v>
      </c>
      <c r="C105" s="43" t="s">
        <v>353</v>
      </c>
      <c r="F105" s="2"/>
    </row>
    <row r="106" spans="1:6" x14ac:dyDescent="0.3">
      <c r="A106" s="38" t="s">
        <v>354</v>
      </c>
      <c r="B106" s="38" t="s">
        <v>265</v>
      </c>
      <c r="C106" s="38" t="s">
        <v>355</v>
      </c>
      <c r="F106" s="2"/>
    </row>
    <row r="107" spans="1:6" x14ac:dyDescent="0.3">
      <c r="A107" s="38" t="s">
        <v>356</v>
      </c>
      <c r="B107" s="38" t="s">
        <v>253</v>
      </c>
      <c r="C107" s="38" t="s">
        <v>357</v>
      </c>
      <c r="F107" s="2"/>
    </row>
    <row r="108" spans="1:6" x14ac:dyDescent="0.3">
      <c r="A108" s="36" t="s">
        <v>453</v>
      </c>
      <c r="B108" s="44" t="s">
        <v>454</v>
      </c>
      <c r="C108" s="36" t="s">
        <v>455</v>
      </c>
      <c r="F108" s="2"/>
    </row>
    <row r="109" spans="1:6" x14ac:dyDescent="0.3">
      <c r="A109" s="36" t="s">
        <v>358</v>
      </c>
      <c r="B109" s="38" t="s">
        <v>262</v>
      </c>
      <c r="C109" s="36" t="s">
        <v>359</v>
      </c>
      <c r="F109" s="2"/>
    </row>
    <row r="110" spans="1:6" x14ac:dyDescent="0.3">
      <c r="A110" s="38" t="s">
        <v>360</v>
      </c>
      <c r="B110" s="38" t="s">
        <v>251</v>
      </c>
      <c r="C110" s="38" t="s">
        <v>361</v>
      </c>
      <c r="F110" s="2"/>
    </row>
    <row r="111" spans="1:6" x14ac:dyDescent="0.3">
      <c r="A111" s="34" t="s">
        <v>566</v>
      </c>
      <c r="B111" s="34" t="s">
        <v>263</v>
      </c>
      <c r="C111" s="34" t="s">
        <v>567</v>
      </c>
      <c r="F111" s="2"/>
    </row>
    <row r="112" spans="1:6" x14ac:dyDescent="0.3">
      <c r="A112" s="38" t="s">
        <v>9</v>
      </c>
      <c r="B112" s="38" t="s">
        <v>248</v>
      </c>
      <c r="C112" s="38" t="s">
        <v>5</v>
      </c>
      <c r="F112" s="2"/>
    </row>
    <row r="113" spans="1:6" x14ac:dyDescent="0.3">
      <c r="A113" s="44" t="s">
        <v>41</v>
      </c>
      <c r="B113" s="44" t="s">
        <v>254</v>
      </c>
      <c r="C113" s="44" t="s">
        <v>42</v>
      </c>
      <c r="F113" s="2"/>
    </row>
    <row r="114" spans="1:6" x14ac:dyDescent="0.3">
      <c r="A114" s="38" t="s">
        <v>43</v>
      </c>
      <c r="B114" s="38" t="s">
        <v>254</v>
      </c>
      <c r="C114" s="44" t="s">
        <v>44</v>
      </c>
      <c r="F114" s="2"/>
    </row>
    <row r="115" spans="1:6" x14ac:dyDescent="0.3">
      <c r="A115" s="44" t="s">
        <v>53</v>
      </c>
      <c r="B115" s="44" t="s">
        <v>257</v>
      </c>
      <c r="C115" s="45" t="s">
        <v>54</v>
      </c>
      <c r="F115" s="2"/>
    </row>
    <row r="116" spans="1:6" x14ac:dyDescent="0.3">
      <c r="A116" s="38" t="s">
        <v>19</v>
      </c>
      <c r="B116" s="38" t="s">
        <v>251</v>
      </c>
      <c r="C116" s="38" t="s">
        <v>20</v>
      </c>
      <c r="F116" s="2"/>
    </row>
    <row r="117" spans="1:6" x14ac:dyDescent="0.3">
      <c r="A117" s="44" t="s">
        <v>458</v>
      </c>
      <c r="B117" s="38" t="s">
        <v>459</v>
      </c>
      <c r="C117" s="38" t="s">
        <v>460</v>
      </c>
      <c r="F117" s="2"/>
    </row>
    <row r="118" spans="1:6" x14ac:dyDescent="0.3">
      <c r="A118" s="38" t="s">
        <v>79</v>
      </c>
      <c r="B118" s="38" t="s">
        <v>292</v>
      </c>
      <c r="C118" s="38" t="s">
        <v>80</v>
      </c>
      <c r="F118" s="2"/>
    </row>
    <row r="119" spans="1:6" x14ac:dyDescent="0.3">
      <c r="A119" s="38" t="s">
        <v>233</v>
      </c>
      <c r="B119" s="38" t="s">
        <v>60</v>
      </c>
      <c r="C119" s="38" t="s">
        <v>234</v>
      </c>
      <c r="F119" s="2"/>
    </row>
    <row r="120" spans="1:6" x14ac:dyDescent="0.3">
      <c r="A120" s="40" t="s">
        <v>10</v>
      </c>
      <c r="B120" s="43" t="s">
        <v>248</v>
      </c>
      <c r="C120" s="41" t="s">
        <v>5</v>
      </c>
      <c r="F120" s="2"/>
    </row>
    <row r="121" spans="1:6" x14ac:dyDescent="0.3">
      <c r="A121" s="37" t="s">
        <v>397</v>
      </c>
      <c r="B121" s="38" t="s">
        <v>398</v>
      </c>
      <c r="C121" s="38" t="s">
        <v>399</v>
      </c>
      <c r="F121" s="2"/>
    </row>
    <row r="122" spans="1:6" x14ac:dyDescent="0.3">
      <c r="A122" s="38" t="s">
        <v>193</v>
      </c>
      <c r="B122" s="38" t="s">
        <v>251</v>
      </c>
      <c r="C122" s="38" t="s">
        <v>194</v>
      </c>
      <c r="F122" s="2"/>
    </row>
    <row r="123" spans="1:6" x14ac:dyDescent="0.3">
      <c r="A123" s="38" t="s">
        <v>195</v>
      </c>
      <c r="B123" s="38" t="s">
        <v>247</v>
      </c>
      <c r="C123" s="38" t="s">
        <v>196</v>
      </c>
      <c r="F123" s="2"/>
    </row>
    <row r="124" spans="1:6" x14ac:dyDescent="0.3">
      <c r="A124" s="38" t="s">
        <v>362</v>
      </c>
      <c r="B124" s="38" t="s">
        <v>394</v>
      </c>
      <c r="C124" s="38" t="s">
        <v>363</v>
      </c>
      <c r="F124" s="2"/>
    </row>
    <row r="125" spans="1:6" x14ac:dyDescent="0.3">
      <c r="A125" s="40" t="s">
        <v>462</v>
      </c>
      <c r="B125" s="43" t="s">
        <v>398</v>
      </c>
      <c r="C125" s="41" t="s">
        <v>463</v>
      </c>
      <c r="F125" s="2"/>
    </row>
    <row r="126" spans="1:6" x14ac:dyDescent="0.3">
      <c r="A126" s="38" t="s">
        <v>436</v>
      </c>
      <c r="B126" s="38" t="s">
        <v>256</v>
      </c>
      <c r="C126" s="38" t="s">
        <v>437</v>
      </c>
      <c r="F126" s="2"/>
    </row>
    <row r="127" spans="1:6" x14ac:dyDescent="0.3">
      <c r="A127" s="34" t="s">
        <v>561</v>
      </c>
      <c r="B127" s="34" t="s">
        <v>562</v>
      </c>
      <c r="C127" s="34" t="s">
        <v>563</v>
      </c>
      <c r="F127" s="2"/>
    </row>
    <row r="128" spans="1:6" x14ac:dyDescent="0.3">
      <c r="A128" s="38" t="s">
        <v>235</v>
      </c>
      <c r="B128" s="38" t="s">
        <v>247</v>
      </c>
      <c r="C128" s="38" t="s">
        <v>236</v>
      </c>
      <c r="F128" s="2"/>
    </row>
    <row r="129" spans="1:6" x14ac:dyDescent="0.3">
      <c r="A129" s="38" t="s">
        <v>466</v>
      </c>
      <c r="B129" s="38" t="s">
        <v>60</v>
      </c>
      <c r="C129" s="38" t="s">
        <v>467</v>
      </c>
      <c r="F129" s="2"/>
    </row>
    <row r="130" spans="1:6" x14ac:dyDescent="0.3">
      <c r="A130" s="38" t="s">
        <v>45</v>
      </c>
      <c r="B130" s="38" t="s">
        <v>254</v>
      </c>
      <c r="C130" s="38" t="s">
        <v>46</v>
      </c>
      <c r="F130" s="2"/>
    </row>
    <row r="131" spans="1:6" x14ac:dyDescent="0.3">
      <c r="A131" s="38" t="s">
        <v>47</v>
      </c>
      <c r="B131" s="38" t="s">
        <v>254</v>
      </c>
      <c r="C131" s="38" t="s">
        <v>48</v>
      </c>
      <c r="F131" s="2"/>
    </row>
    <row r="132" spans="1:6" x14ac:dyDescent="0.3">
      <c r="A132" s="38" t="s">
        <v>364</v>
      </c>
      <c r="B132" s="38" t="s">
        <v>248</v>
      </c>
      <c r="C132" s="38" t="s">
        <v>101</v>
      </c>
      <c r="F132" s="2"/>
    </row>
    <row r="133" spans="1:6" x14ac:dyDescent="0.3">
      <c r="A133" s="38" t="s">
        <v>197</v>
      </c>
      <c r="B133" s="38" t="s">
        <v>260</v>
      </c>
      <c r="C133" s="38" t="s">
        <v>198</v>
      </c>
      <c r="F133" s="2"/>
    </row>
    <row r="134" spans="1:6" x14ac:dyDescent="0.3">
      <c r="A134" s="38" t="s">
        <v>365</v>
      </c>
      <c r="B134" s="38" t="s">
        <v>267</v>
      </c>
      <c r="C134" s="38" t="s">
        <v>366</v>
      </c>
      <c r="F134" s="2"/>
    </row>
    <row r="135" spans="1:6" x14ac:dyDescent="0.3">
      <c r="A135" s="34" t="s">
        <v>584</v>
      </c>
      <c r="B135" s="34" t="s">
        <v>569</v>
      </c>
      <c r="C135" s="34" t="s">
        <v>585</v>
      </c>
      <c r="F135" s="2"/>
    </row>
    <row r="136" spans="1:6" x14ac:dyDescent="0.3">
      <c r="A136" s="38" t="s">
        <v>428</v>
      </c>
      <c r="B136" s="38" t="s">
        <v>291</v>
      </c>
      <c r="C136" s="38" t="s">
        <v>429</v>
      </c>
      <c r="F136" s="2"/>
    </row>
    <row r="137" spans="1:6" x14ac:dyDescent="0.3">
      <c r="A137" s="38" t="s">
        <v>11</v>
      </c>
      <c r="B137" s="38" t="s">
        <v>248</v>
      </c>
      <c r="C137" s="38" t="s">
        <v>5</v>
      </c>
      <c r="F137" s="2"/>
    </row>
    <row r="138" spans="1:6" x14ac:dyDescent="0.3">
      <c r="A138" s="38" t="s">
        <v>88</v>
      </c>
      <c r="B138" s="38" t="s">
        <v>85</v>
      </c>
      <c r="C138" s="38" t="s">
        <v>89</v>
      </c>
      <c r="F138" s="2"/>
    </row>
    <row r="139" spans="1:6" x14ac:dyDescent="0.3">
      <c r="A139" s="38" t="s">
        <v>199</v>
      </c>
      <c r="B139" s="38" t="s">
        <v>254</v>
      </c>
      <c r="C139" s="38" t="s">
        <v>200</v>
      </c>
      <c r="F139" s="2"/>
    </row>
    <row r="140" spans="1:6" x14ac:dyDescent="0.3">
      <c r="A140" s="38" t="s">
        <v>27</v>
      </c>
      <c r="B140" s="38" t="s">
        <v>253</v>
      </c>
      <c r="C140" s="38" t="s">
        <v>28</v>
      </c>
      <c r="F140" s="2"/>
    </row>
    <row r="141" spans="1:6" x14ac:dyDescent="0.3">
      <c r="A141" s="38" t="s">
        <v>367</v>
      </c>
      <c r="B141" s="38" t="s">
        <v>60</v>
      </c>
      <c r="C141" s="38" t="s">
        <v>368</v>
      </c>
      <c r="F141" s="2"/>
    </row>
    <row r="142" spans="1:6" x14ac:dyDescent="0.3">
      <c r="A142" s="38" t="s">
        <v>12</v>
      </c>
      <c r="B142" s="38" t="s">
        <v>248</v>
      </c>
      <c r="C142" s="38" t="s">
        <v>5</v>
      </c>
      <c r="F142" s="2"/>
    </row>
    <row r="143" spans="1:6" x14ac:dyDescent="0.3">
      <c r="A143" s="38" t="s">
        <v>402</v>
      </c>
      <c r="B143" s="38" t="s">
        <v>403</v>
      </c>
      <c r="C143" s="38" t="s">
        <v>404</v>
      </c>
      <c r="F143" s="2"/>
    </row>
    <row r="144" spans="1:6" x14ac:dyDescent="0.3">
      <c r="A144" s="38" t="s">
        <v>369</v>
      </c>
      <c r="B144" s="38" t="s">
        <v>370</v>
      </c>
      <c r="C144" s="38" t="s">
        <v>371</v>
      </c>
      <c r="F144" s="2"/>
    </row>
    <row r="145" spans="1:6" x14ac:dyDescent="0.3">
      <c r="A145" s="34" t="s">
        <v>372</v>
      </c>
      <c r="B145" s="34" t="s">
        <v>254</v>
      </c>
      <c r="C145" s="34" t="s">
        <v>373</v>
      </c>
      <c r="F145" s="2"/>
    </row>
    <row r="146" spans="1:6" x14ac:dyDescent="0.3">
      <c r="A146" s="34" t="s">
        <v>545</v>
      </c>
      <c r="B146" s="34" t="s">
        <v>546</v>
      </c>
      <c r="C146" s="34" t="s">
        <v>547</v>
      </c>
      <c r="F146" s="2"/>
    </row>
    <row r="147" spans="1:6" x14ac:dyDescent="0.3">
      <c r="A147" s="34" t="s">
        <v>579</v>
      </c>
      <c r="B147" s="34" t="s">
        <v>253</v>
      </c>
      <c r="C147" s="34" t="s">
        <v>580</v>
      </c>
      <c r="F147" s="2"/>
    </row>
    <row r="148" spans="1:6" x14ac:dyDescent="0.3">
      <c r="A148" s="38" t="s">
        <v>539</v>
      </c>
      <c r="B148" s="38" t="s">
        <v>259</v>
      </c>
      <c r="C148" s="38" t="s">
        <v>540</v>
      </c>
      <c r="F148" s="2"/>
    </row>
    <row r="149" spans="1:6" x14ac:dyDescent="0.3">
      <c r="A149" s="38" t="s">
        <v>237</v>
      </c>
      <c r="B149" s="38" t="s">
        <v>253</v>
      </c>
      <c r="C149" s="38" t="s">
        <v>238</v>
      </c>
      <c r="F149" s="2"/>
    </row>
    <row r="150" spans="1:6" x14ac:dyDescent="0.3">
      <c r="A150" s="38" t="s">
        <v>239</v>
      </c>
      <c r="B150" s="38" t="s">
        <v>253</v>
      </c>
      <c r="C150" s="38" t="s">
        <v>240</v>
      </c>
      <c r="F150" s="2"/>
    </row>
    <row r="151" spans="1:6" x14ac:dyDescent="0.3">
      <c r="A151" s="38" t="s">
        <v>374</v>
      </c>
      <c r="B151" s="38" t="s">
        <v>266</v>
      </c>
      <c r="C151" s="38" t="s">
        <v>375</v>
      </c>
      <c r="F151" s="2"/>
    </row>
    <row r="152" spans="1:6" x14ac:dyDescent="0.3">
      <c r="A152" s="38" t="s">
        <v>13</v>
      </c>
      <c r="B152" s="38" t="s">
        <v>248</v>
      </c>
      <c r="C152" s="38" t="s">
        <v>5</v>
      </c>
      <c r="F152" s="2"/>
    </row>
    <row r="153" spans="1:6" x14ac:dyDescent="0.3">
      <c r="A153" s="38" t="s">
        <v>414</v>
      </c>
      <c r="B153" s="38" t="s">
        <v>263</v>
      </c>
      <c r="C153" s="38" t="s">
        <v>415</v>
      </c>
      <c r="F153" s="2"/>
    </row>
    <row r="154" spans="1:6" x14ac:dyDescent="0.3">
      <c r="A154" s="34" t="s">
        <v>555</v>
      </c>
      <c r="B154" s="34" t="s">
        <v>248</v>
      </c>
      <c r="C154" s="34" t="s">
        <v>5</v>
      </c>
      <c r="F154" s="2"/>
    </row>
    <row r="155" spans="1:6" x14ac:dyDescent="0.3">
      <c r="A155" s="34" t="s">
        <v>575</v>
      </c>
      <c r="B155" s="34" t="s">
        <v>259</v>
      </c>
      <c r="C155" s="34" t="s">
        <v>576</v>
      </c>
      <c r="F155" s="2"/>
    </row>
    <row r="156" spans="1:6" x14ac:dyDescent="0.3">
      <c r="A156" s="34" t="s">
        <v>559</v>
      </c>
      <c r="B156" s="34" t="s">
        <v>259</v>
      </c>
      <c r="C156" s="34" t="s">
        <v>560</v>
      </c>
      <c r="F156" s="2"/>
    </row>
    <row r="157" spans="1:6" x14ac:dyDescent="0.3">
      <c r="A157" s="38" t="s">
        <v>376</v>
      </c>
      <c r="B157" s="38" t="s">
        <v>263</v>
      </c>
      <c r="C157" s="38" t="s">
        <v>377</v>
      </c>
      <c r="F157" s="2"/>
    </row>
    <row r="158" spans="1:6" x14ac:dyDescent="0.3">
      <c r="A158" s="38" t="s">
        <v>14</v>
      </c>
      <c r="B158" s="38" t="s">
        <v>248</v>
      </c>
      <c r="C158" s="38" t="s">
        <v>5</v>
      </c>
      <c r="F158" s="2"/>
    </row>
    <row r="159" spans="1:6" x14ac:dyDescent="0.3">
      <c r="A159" s="38" t="s">
        <v>456</v>
      </c>
      <c r="B159" s="38" t="s">
        <v>263</v>
      </c>
      <c r="C159" s="38" t="s">
        <v>457</v>
      </c>
      <c r="F159" s="2"/>
    </row>
    <row r="160" spans="1:6" x14ac:dyDescent="0.3">
      <c r="A160" s="38" t="s">
        <v>77</v>
      </c>
      <c r="B160" s="38" t="s">
        <v>258</v>
      </c>
      <c r="C160" s="38" t="s">
        <v>78</v>
      </c>
      <c r="F160" s="2"/>
    </row>
    <row r="161" spans="1:6" x14ac:dyDescent="0.3">
      <c r="A161" s="38" t="s">
        <v>97</v>
      </c>
      <c r="B161" s="38" t="s">
        <v>60</v>
      </c>
      <c r="C161" s="38" t="s">
        <v>98</v>
      </c>
      <c r="F161" s="2"/>
    </row>
    <row r="162" spans="1:6" x14ac:dyDescent="0.3">
      <c r="A162" s="38" t="s">
        <v>400</v>
      </c>
      <c r="B162" s="38" t="s">
        <v>263</v>
      </c>
      <c r="C162" s="38" t="s">
        <v>401</v>
      </c>
      <c r="F162" s="2"/>
    </row>
    <row r="163" spans="1:6" x14ac:dyDescent="0.3">
      <c r="A163" s="38" t="s">
        <v>378</v>
      </c>
      <c r="B163" s="38" t="s">
        <v>264</v>
      </c>
      <c r="C163" s="38" t="s">
        <v>379</v>
      </c>
      <c r="F163" s="2"/>
    </row>
    <row r="164" spans="1:6" x14ac:dyDescent="0.3">
      <c r="A164" s="38" t="s">
        <v>410</v>
      </c>
      <c r="B164" s="38" t="s">
        <v>259</v>
      </c>
      <c r="C164" s="38" t="s">
        <v>411</v>
      </c>
      <c r="F164" s="2"/>
    </row>
    <row r="165" spans="1:6" x14ac:dyDescent="0.3">
      <c r="A165" s="38" t="s">
        <v>15</v>
      </c>
      <c r="B165" s="38" t="s">
        <v>248</v>
      </c>
      <c r="C165" s="38" t="s">
        <v>5</v>
      </c>
      <c r="F165" s="2"/>
    </row>
    <row r="166" spans="1:6" x14ac:dyDescent="0.3">
      <c r="A166" s="38" t="s">
        <v>201</v>
      </c>
      <c r="B166" s="38" t="s">
        <v>253</v>
      </c>
      <c r="C166" s="38" t="s">
        <v>202</v>
      </c>
      <c r="F166" s="2"/>
    </row>
    <row r="167" spans="1:6" x14ac:dyDescent="0.3">
      <c r="A167" s="38" t="s">
        <v>380</v>
      </c>
      <c r="B167" s="38" t="s">
        <v>259</v>
      </c>
      <c r="C167" s="38" t="s">
        <v>381</v>
      </c>
      <c r="F167" s="2"/>
    </row>
    <row r="168" spans="1:6" x14ac:dyDescent="0.3">
      <c r="A168" s="38" t="s">
        <v>478</v>
      </c>
      <c r="B168" s="38" t="s">
        <v>433</v>
      </c>
      <c r="C168" s="38" t="s">
        <v>479</v>
      </c>
      <c r="F168" s="2"/>
    </row>
    <row r="169" spans="1:6" x14ac:dyDescent="0.3">
      <c r="A169" s="38" t="s">
        <v>496</v>
      </c>
      <c r="B169" s="38" t="s">
        <v>253</v>
      </c>
      <c r="C169" s="38" t="s">
        <v>497</v>
      </c>
      <c r="F169" s="2"/>
    </row>
    <row r="170" spans="1:6" x14ac:dyDescent="0.3">
      <c r="A170" s="38" t="s">
        <v>49</v>
      </c>
      <c r="B170" s="38" t="s">
        <v>254</v>
      </c>
      <c r="C170" s="38" t="s">
        <v>50</v>
      </c>
      <c r="F170" s="2"/>
    </row>
    <row r="171" spans="1:6" x14ac:dyDescent="0.3">
      <c r="A171" s="38" t="s">
        <v>382</v>
      </c>
      <c r="B171" s="38" t="s">
        <v>254</v>
      </c>
      <c r="C171" s="38" t="s">
        <v>383</v>
      </c>
      <c r="F171" s="2"/>
    </row>
    <row r="172" spans="1:6" x14ac:dyDescent="0.3">
      <c r="A172" s="38" t="s">
        <v>384</v>
      </c>
      <c r="B172" s="38" t="s">
        <v>394</v>
      </c>
      <c r="C172" s="38" t="s">
        <v>385</v>
      </c>
      <c r="F172" s="2"/>
    </row>
    <row r="173" spans="1:6" x14ac:dyDescent="0.3">
      <c r="A173" s="38" t="s">
        <v>100</v>
      </c>
      <c r="B173" s="38" t="s">
        <v>248</v>
      </c>
      <c r="C173" s="38" t="s">
        <v>101</v>
      </c>
      <c r="F173" s="2"/>
    </row>
    <row r="174" spans="1:6" x14ac:dyDescent="0.3">
      <c r="A174" s="38" t="s">
        <v>102</v>
      </c>
      <c r="B174" s="38" t="s">
        <v>248</v>
      </c>
      <c r="C174" s="38" t="s">
        <v>101</v>
      </c>
      <c r="F174" s="2"/>
    </row>
    <row r="175" spans="1:6" x14ac:dyDescent="0.3">
      <c r="A175" s="38" t="s">
        <v>21</v>
      </c>
      <c r="B175" s="38" t="s">
        <v>252</v>
      </c>
      <c r="C175" s="38" t="s">
        <v>22</v>
      </c>
      <c r="F175" s="2"/>
    </row>
    <row r="176" spans="1:6" x14ac:dyDescent="0.3">
      <c r="A176" s="38" t="s">
        <v>416</v>
      </c>
      <c r="B176" s="38" t="s">
        <v>259</v>
      </c>
      <c r="C176" s="38" t="s">
        <v>417</v>
      </c>
      <c r="F176" s="2"/>
    </row>
    <row r="177" spans="1:6" x14ac:dyDescent="0.3">
      <c r="A177" s="38" t="s">
        <v>23</v>
      </c>
      <c r="B177" s="38" t="s">
        <v>252</v>
      </c>
      <c r="C177" s="38" t="s">
        <v>24</v>
      </c>
      <c r="F177" s="2"/>
    </row>
    <row r="178" spans="1:6" x14ac:dyDescent="0.3">
      <c r="A178" s="38" t="s">
        <v>83</v>
      </c>
      <c r="B178" s="38" t="s">
        <v>293</v>
      </c>
      <c r="C178" s="38" t="s">
        <v>84</v>
      </c>
    </row>
    <row r="179" spans="1:6" x14ac:dyDescent="0.3">
      <c r="A179" s="38" t="s">
        <v>16</v>
      </c>
      <c r="B179" s="38" t="s">
        <v>248</v>
      </c>
      <c r="C179" s="38" t="s">
        <v>5</v>
      </c>
    </row>
    <row r="180" spans="1:6" x14ac:dyDescent="0.3">
      <c r="A180" s="38" t="s">
        <v>203</v>
      </c>
      <c r="B180" s="38" t="s">
        <v>204</v>
      </c>
      <c r="C180" s="38" t="s">
        <v>205</v>
      </c>
    </row>
    <row r="181" spans="1:6" x14ac:dyDescent="0.3">
      <c r="A181" s="37" t="s">
        <v>494</v>
      </c>
      <c r="B181" s="38" t="s">
        <v>254</v>
      </c>
      <c r="C181" s="38" t="s">
        <v>99</v>
      </c>
    </row>
    <row r="182" spans="1:6" x14ac:dyDescent="0.3">
      <c r="A182" s="38" t="s">
        <v>91</v>
      </c>
      <c r="B182" s="38" t="s">
        <v>261</v>
      </c>
      <c r="C182" s="38" t="s">
        <v>92</v>
      </c>
    </row>
    <row r="183" spans="1:6" x14ac:dyDescent="0.3">
      <c r="A183" s="38" t="s">
        <v>386</v>
      </c>
      <c r="B183" s="38" t="s">
        <v>85</v>
      </c>
      <c r="C183" s="38" t="s">
        <v>387</v>
      </c>
    </row>
    <row r="184" spans="1:6" x14ac:dyDescent="0.3">
      <c r="A184" s="38" t="s">
        <v>475</v>
      </c>
      <c r="B184" s="38" t="s">
        <v>265</v>
      </c>
      <c r="C184" s="38" t="s">
        <v>476</v>
      </c>
    </row>
    <row r="185" spans="1:6" x14ac:dyDescent="0.3">
      <c r="A185" s="38" t="s">
        <v>206</v>
      </c>
      <c r="B185" s="38" t="s">
        <v>253</v>
      </c>
      <c r="C185" s="38" t="s">
        <v>207</v>
      </c>
    </row>
    <row r="186" spans="1:6" x14ac:dyDescent="0.3">
      <c r="A186" s="38" t="s">
        <v>58</v>
      </c>
      <c r="B186" s="38" t="s">
        <v>55</v>
      </c>
      <c r="C186" s="38" t="s">
        <v>59</v>
      </c>
    </row>
    <row r="187" spans="1:6" x14ac:dyDescent="0.3">
      <c r="A187" s="38" t="s">
        <v>74</v>
      </c>
      <c r="B187" s="38" t="s">
        <v>60</v>
      </c>
      <c r="C187" s="38" t="s">
        <v>75</v>
      </c>
    </row>
    <row r="188" spans="1:6" x14ac:dyDescent="0.3">
      <c r="A188" s="38" t="s">
        <v>90</v>
      </c>
      <c r="B188" s="38" t="s">
        <v>85</v>
      </c>
      <c r="C188" s="38" t="s">
        <v>111</v>
      </c>
    </row>
    <row r="189" spans="1:6" x14ac:dyDescent="0.3">
      <c r="A189" s="34" t="s">
        <v>577</v>
      </c>
      <c r="B189" s="34" t="s">
        <v>569</v>
      </c>
      <c r="C189" s="34" t="s">
        <v>578</v>
      </c>
    </row>
    <row r="190" spans="1:6" x14ac:dyDescent="0.3">
      <c r="A190" s="38" t="s">
        <v>241</v>
      </c>
      <c r="B190" s="38" t="s">
        <v>291</v>
      </c>
      <c r="C190" s="38" t="s">
        <v>242</v>
      </c>
    </row>
    <row r="191" spans="1:6" x14ac:dyDescent="0.3">
      <c r="A191" s="38" t="s">
        <v>451</v>
      </c>
      <c r="B191" s="38" t="s">
        <v>441</v>
      </c>
      <c r="C191" s="38" t="s">
        <v>452</v>
      </c>
    </row>
    <row r="192" spans="1:6" x14ac:dyDescent="0.3">
      <c r="A192" s="34" t="s">
        <v>554</v>
      </c>
      <c r="B192" s="34" t="s">
        <v>259</v>
      </c>
      <c r="C192" s="34" t="s">
        <v>452</v>
      </c>
    </row>
    <row r="193" spans="1:3" x14ac:dyDescent="0.3">
      <c r="A193" s="38" t="s">
        <v>243</v>
      </c>
      <c r="B193" s="38" t="s">
        <v>253</v>
      </c>
      <c r="C193" s="38" t="s">
        <v>244</v>
      </c>
    </row>
    <row r="194" spans="1:3" x14ac:dyDescent="0.3">
      <c r="A194" s="38" t="s">
        <v>208</v>
      </c>
      <c r="B194" s="38" t="s">
        <v>85</v>
      </c>
      <c r="C194" s="38" t="s">
        <v>209</v>
      </c>
    </row>
    <row r="195" spans="1:3" x14ac:dyDescent="0.3">
      <c r="A195" s="38" t="s">
        <v>76</v>
      </c>
      <c r="B195" s="38" t="s">
        <v>60</v>
      </c>
      <c r="C195" s="38" t="s">
        <v>508</v>
      </c>
    </row>
    <row r="196" spans="1:3" x14ac:dyDescent="0.3">
      <c r="A196" s="38" t="s">
        <v>469</v>
      </c>
      <c r="B196" s="38" t="s">
        <v>253</v>
      </c>
      <c r="C196" s="38" t="s">
        <v>470</v>
      </c>
    </row>
    <row r="197" spans="1:3" x14ac:dyDescent="0.3">
      <c r="A197" s="38" t="s">
        <v>245</v>
      </c>
      <c r="B197" s="38" t="s">
        <v>215</v>
      </c>
      <c r="C197" s="38" t="s">
        <v>246</v>
      </c>
    </row>
    <row r="198" spans="1:3" x14ac:dyDescent="0.3">
      <c r="A198" s="38" t="s">
        <v>210</v>
      </c>
      <c r="B198" s="38" t="s">
        <v>247</v>
      </c>
      <c r="C198" s="38" t="s">
        <v>211</v>
      </c>
    </row>
    <row r="199" spans="1:3" x14ac:dyDescent="0.3">
      <c r="A199" s="38" t="s">
        <v>154</v>
      </c>
      <c r="B199" s="38" t="s">
        <v>254</v>
      </c>
      <c r="C199" s="38" t="s">
        <v>155</v>
      </c>
    </row>
    <row r="200" spans="1:3" x14ac:dyDescent="0.3">
      <c r="A200" s="38" t="s">
        <v>29</v>
      </c>
      <c r="B200" s="38" t="s">
        <v>253</v>
      </c>
      <c r="C200" s="38" t="s">
        <v>30</v>
      </c>
    </row>
    <row r="201" spans="1:3" x14ac:dyDescent="0.3">
      <c r="A201" s="34" t="s">
        <v>388</v>
      </c>
      <c r="B201" s="34" t="s">
        <v>259</v>
      </c>
      <c r="C201" s="34" t="s">
        <v>389</v>
      </c>
    </row>
    <row r="202" spans="1:3" x14ac:dyDescent="0.3">
      <c r="A202" s="34" t="s">
        <v>573</v>
      </c>
      <c r="B202" s="34" t="s">
        <v>569</v>
      </c>
      <c r="C202" s="34" t="s">
        <v>574</v>
      </c>
    </row>
  </sheetData>
  <conditionalFormatting sqref="A156">
    <cfRule type="expression" dxfId="7" priority="3">
      <formula>$C$4&gt;0</formula>
    </cfRule>
    <cfRule type="expression" dxfId="6" priority="4">
      <formula>$C$3&gt;0</formula>
    </cfRule>
  </conditionalFormatting>
  <conditionalFormatting sqref="A171">
    <cfRule type="expression" dxfId="5" priority="2">
      <formula>$H$13&gt;0</formula>
    </cfRule>
  </conditionalFormatting>
  <conditionalFormatting sqref="A171">
    <cfRule type="expression" dxfId="4" priority="1">
      <formula>$H$14&gt;0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DB68-7964-4089-9F1E-F4C27CFD04E7}">
  <sheetPr codeName="Sheet3"/>
  <dimension ref="A1:F22"/>
  <sheetViews>
    <sheetView workbookViewId="0">
      <selection activeCell="D3" sqref="D3:E3"/>
    </sheetView>
  </sheetViews>
  <sheetFormatPr defaultRowHeight="14.4" x14ac:dyDescent="0.3"/>
  <cols>
    <col min="1" max="1" width="18.5546875" customWidth="1"/>
    <col min="2" max="2" width="18.44140625" customWidth="1"/>
    <col min="3" max="3" width="30.44140625" customWidth="1"/>
    <col min="4" max="4" width="25.44140625" customWidth="1"/>
    <col min="6" max="6" width="14.5546875" customWidth="1"/>
  </cols>
  <sheetData>
    <row r="1" spans="1:6" x14ac:dyDescent="0.3">
      <c r="A1" s="78"/>
      <c r="B1" s="81" t="s">
        <v>164</v>
      </c>
      <c r="C1" s="82"/>
      <c r="D1" s="87" t="s">
        <v>156</v>
      </c>
      <c r="E1" s="88"/>
      <c r="F1" s="75" t="s">
        <v>157</v>
      </c>
    </row>
    <row r="2" spans="1:6" x14ac:dyDescent="0.3">
      <c r="A2" s="79"/>
      <c r="B2" s="83"/>
      <c r="C2" s="84"/>
      <c r="D2" s="89">
        <v>45891</v>
      </c>
      <c r="E2" s="90"/>
      <c r="F2" s="76"/>
    </row>
    <row r="3" spans="1:6" ht="15" thickBot="1" x14ac:dyDescent="0.35">
      <c r="A3" s="80"/>
      <c r="B3" s="85"/>
      <c r="C3" s="86"/>
      <c r="D3" s="91" t="s">
        <v>522</v>
      </c>
      <c r="E3" s="92"/>
      <c r="F3" s="77"/>
    </row>
    <row r="4" spans="1:6" ht="15" thickBot="1" x14ac:dyDescent="0.35">
      <c r="A4" s="68" t="s">
        <v>165</v>
      </c>
      <c r="B4" s="69"/>
      <c r="C4" s="69"/>
      <c r="D4" s="69"/>
      <c r="E4" s="69"/>
      <c r="F4" s="70"/>
    </row>
    <row r="5" spans="1:6" ht="35.85" customHeight="1" thickBot="1" x14ac:dyDescent="0.35">
      <c r="A5" s="71" t="s">
        <v>158</v>
      </c>
      <c r="B5" s="72"/>
      <c r="C5" s="73" t="s">
        <v>159</v>
      </c>
      <c r="D5" s="74"/>
      <c r="E5" s="71" t="s">
        <v>160</v>
      </c>
      <c r="F5" s="72"/>
    </row>
    <row r="6" spans="1:6" ht="24.6" customHeight="1" thickBot="1" x14ac:dyDescent="0.35">
      <c r="A6" s="71" t="s">
        <v>161</v>
      </c>
      <c r="B6" s="72"/>
      <c r="C6" s="71" t="s">
        <v>162</v>
      </c>
      <c r="D6" s="72"/>
      <c r="E6" s="71" t="s">
        <v>163</v>
      </c>
      <c r="F6" s="72"/>
    </row>
    <row r="12" spans="1:6" x14ac:dyDescent="0.3">
      <c r="A12" s="67" t="s">
        <v>166</v>
      </c>
      <c r="B12" s="67"/>
      <c r="C12" s="67"/>
      <c r="D12" s="67"/>
    </row>
    <row r="13" spans="1:6" x14ac:dyDescent="0.3">
      <c r="A13" s="15" t="s">
        <v>167</v>
      </c>
      <c r="B13" s="15" t="s">
        <v>168</v>
      </c>
      <c r="C13" s="15" t="s">
        <v>169</v>
      </c>
      <c r="D13" s="15" t="s">
        <v>170</v>
      </c>
    </row>
    <row r="14" spans="1:6" x14ac:dyDescent="0.3">
      <c r="A14" s="16">
        <v>45142</v>
      </c>
      <c r="B14" s="15"/>
      <c r="C14" s="15" t="s">
        <v>171</v>
      </c>
      <c r="D14" s="15" t="s">
        <v>172</v>
      </c>
    </row>
    <row r="15" spans="1:6" x14ac:dyDescent="0.3">
      <c r="A15" s="16">
        <v>45155</v>
      </c>
      <c r="B15" s="15">
        <v>1</v>
      </c>
      <c r="C15" s="15" t="s">
        <v>180</v>
      </c>
      <c r="D15" s="15" t="s">
        <v>172</v>
      </c>
    </row>
    <row r="16" spans="1:6" x14ac:dyDescent="0.3">
      <c r="A16" s="16">
        <v>45166</v>
      </c>
      <c r="B16" s="15">
        <v>2</v>
      </c>
      <c r="C16" s="15" t="s">
        <v>181</v>
      </c>
      <c r="D16" s="15" t="s">
        <v>172</v>
      </c>
    </row>
    <row r="17" spans="1:4" x14ac:dyDescent="0.3">
      <c r="A17" s="16">
        <v>45891</v>
      </c>
      <c r="B17" s="15">
        <v>3</v>
      </c>
      <c r="C17" s="15" t="s">
        <v>521</v>
      </c>
      <c r="D17" s="15" t="s">
        <v>172</v>
      </c>
    </row>
    <row r="18" spans="1:4" x14ac:dyDescent="0.3">
      <c r="A18" s="17"/>
      <c r="B18" s="15"/>
      <c r="C18" s="15"/>
      <c r="D18" s="15"/>
    </row>
    <row r="19" spans="1:4" x14ac:dyDescent="0.3">
      <c r="A19" s="17"/>
      <c r="B19" s="15"/>
      <c r="C19" s="15"/>
      <c r="D19" s="15"/>
    </row>
    <row r="20" spans="1:4" x14ac:dyDescent="0.3">
      <c r="A20" s="17"/>
      <c r="B20" s="15"/>
      <c r="C20" s="15"/>
      <c r="D20" s="15"/>
    </row>
    <row r="21" spans="1:4" x14ac:dyDescent="0.3">
      <c r="A21" s="14"/>
    </row>
    <row r="22" spans="1:4" x14ac:dyDescent="0.3">
      <c r="A22" s="14"/>
    </row>
  </sheetData>
  <mergeCells count="14">
    <mergeCell ref="F1:F3"/>
    <mergeCell ref="A1:A3"/>
    <mergeCell ref="B1:C3"/>
    <mergeCell ref="D1:E1"/>
    <mergeCell ref="D2:E2"/>
    <mergeCell ref="D3:E3"/>
    <mergeCell ref="A12:D12"/>
    <mergeCell ref="A4:F4"/>
    <mergeCell ref="A5:B5"/>
    <mergeCell ref="C5:D5"/>
    <mergeCell ref="E5:F5"/>
    <mergeCell ref="A6:B6"/>
    <mergeCell ref="C6:D6"/>
    <mergeCell ref="E6:F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Entry</vt:lpstr>
      <vt:lpstr>UAR Notes</vt:lpstr>
      <vt:lpstr>Lists</vt:lpstr>
      <vt:lpstr>Revisions</vt:lpstr>
      <vt:lpstr>ActsPowerServices</vt:lpstr>
      <vt:lpstr>AEMPower</vt:lpstr>
      <vt:lpstr>AirInternational</vt:lpstr>
      <vt:lpstr>AlternativeEnergy</vt:lpstr>
      <vt:lpstr>AXISEnergy</vt:lpstr>
      <vt:lpstr>AzimuthEnergy</vt:lpstr>
      <vt:lpstr>BreitGrid</vt:lpstr>
      <vt:lpstr>CAMS</vt:lpstr>
      <vt:lpstr>CapeFearSolarServices</vt:lpstr>
      <vt:lpstr>CarolinaSolarServices</vt:lpstr>
      <vt:lpstr>Catl</vt:lpstr>
      <vt:lpstr>CES</vt:lpstr>
      <vt:lpstr>Clou</vt:lpstr>
      <vt:lpstr>Flexgen</vt:lpstr>
      <vt:lpstr>GEOtechnologies</vt:lpstr>
      <vt:lpstr>GlobalPowerSolutions</vt:lpstr>
      <vt:lpstr>GroundForce</vt:lpstr>
      <vt:lpstr>GurganusSolarCare</vt:lpstr>
      <vt:lpstr>JonesOnslowEMC</vt:lpstr>
      <vt:lpstr>KEMPower</vt:lpstr>
      <vt:lpstr>LomanGarret</vt:lpstr>
      <vt:lpstr>LumbeeRiver</vt:lpstr>
      <vt:lpstr>NARENCO</vt:lpstr>
      <vt:lpstr>NCEMC</vt:lpstr>
      <vt:lpstr>NergonEnergy</vt:lpstr>
      <vt:lpstr>OATI</vt:lpstr>
      <vt:lpstr>PittGreenElectric</vt:lpstr>
      <vt:lpstr>PurePower</vt:lpstr>
      <vt:lpstr>RavenVolt</vt:lpstr>
      <vt:lpstr>Renewance</vt:lpstr>
      <vt:lpstr>RevisionSolarLLC</vt:lpstr>
      <vt:lpstr>Risan</vt:lpstr>
      <vt:lpstr>RoanokeCooperative</vt:lpstr>
      <vt:lpstr>SchweitzerEng</vt:lpstr>
      <vt:lpstr>Tesla</vt:lpstr>
      <vt:lpstr>ThompsonLandscaping</vt:lpstr>
      <vt:lpstr>TidelandEMC</vt:lpstr>
      <vt:lpstr>WakeElectric</vt:lpstr>
      <vt:lpstr>WhitesElectrical</vt:lpstr>
    </vt:vector>
  </TitlesOfParts>
  <Company>OVEC IKEC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W. Clark</dc:creator>
  <cp:lastModifiedBy>Joshua D. Campbell</cp:lastModifiedBy>
  <cp:lastPrinted>2025-08-22T15:34:00Z</cp:lastPrinted>
  <dcterms:created xsi:type="dcterms:W3CDTF">2023-07-19T18:42:34Z</dcterms:created>
  <dcterms:modified xsi:type="dcterms:W3CDTF">2026-02-09T11:46:50Z</dcterms:modified>
</cp:coreProperties>
</file>